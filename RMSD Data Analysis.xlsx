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361d5d909073b3/Desktop/KingResearch/"/>
    </mc:Choice>
  </mc:AlternateContent>
  <xr:revisionPtr revIDLastSave="118" documentId="8_{16A586AD-15C7-44D1-AEC1-7472CD8F0F83}" xr6:coauthVersionLast="47" xr6:coauthVersionMax="47" xr10:uidLastSave="{B5EEDB35-F7A6-47AC-94C1-E80A478C3EF0}"/>
  <bookViews>
    <workbookView xWindow="-108" yWindow="-108" windowWidth="23256" windowHeight="12456" firstSheet="6" activeTab="7" xr2:uid="{BBA34B4E-0D6C-4045-B3A2-62ECB2C33EE4}"/>
  </bookViews>
  <sheets>
    <sheet name="general statistics each state" sheetId="2" r:id="rId1"/>
    <sheet name="avg hotspots" sheetId="3" r:id="rId2"/>
    <sheet name="general data" sheetId="1" r:id="rId3"/>
    <sheet name="ref-ref sanity check" sheetId="15" r:id="rId4"/>
    <sheet name="count best match" sheetId="10" r:id="rId5"/>
    <sheet name="best match line chart dist best" sheetId="12" r:id="rId6"/>
    <sheet name="General Geometries" sheetId="16" r:id="rId7"/>
    <sheet name="m4 22" sheetId="23" r:id="rId8"/>
    <sheet name="bulge and loop m1" sheetId="19" r:id="rId9"/>
    <sheet name="groove changes m3" sheetId="22" r:id="rId10"/>
    <sheet name="key" sheetId="17" r:id="rId11"/>
    <sheet name="wich lowest general" sheetId="13" r:id="rId12"/>
    <sheet name="best match conformer hot spots" sheetId="14" r:id="rId13"/>
    <sheet name="general best match" sheetId="9" r:id="rId14"/>
  </sheets>
  <definedNames>
    <definedName name="_xlchart.v1.0" hidden="1">'general data'!$A$2:$A$1061</definedName>
    <definedName name="_xlchart.v1.1" hidden="1">'general data'!$D$2:$D$1061</definedName>
  </definedNames>
  <calcPr calcId="191029"/>
  <pivotCaches>
    <pivotCache cacheId="8" r:id="rId15"/>
    <pivotCache cacheId="23" r:id="rId16"/>
    <pivotCache cacheId="33" r:id="rId17"/>
    <pivotCache cacheId="38" r:id="rId18"/>
    <pivotCache cacheId="42" r:id="rId19"/>
    <pivotCache cacheId="46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9" l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2" i="9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2" i="1"/>
</calcChain>
</file>

<file path=xl/sharedStrings.xml><?xml version="1.0" encoding="utf-8"?>
<sst xmlns="http://schemas.openxmlformats.org/spreadsheetml/2006/main" count="1581" uniqueCount="101">
  <si>
    <t>State</t>
  </si>
  <si>
    <t>Conformer</t>
  </si>
  <si>
    <t>RMSD (A)</t>
  </si>
  <si>
    <t>conf_1</t>
  </si>
  <si>
    <t>conf_2</t>
  </si>
  <si>
    <t>conf_3</t>
  </si>
  <si>
    <t>conf_4</t>
  </si>
  <si>
    <t>conf_5</t>
  </si>
  <si>
    <t>conf_6</t>
  </si>
  <si>
    <t>conf_7</t>
  </si>
  <si>
    <t>conf_8</t>
  </si>
  <si>
    <t>conf_9</t>
  </si>
  <si>
    <t>conf_10</t>
  </si>
  <si>
    <t>conf_11</t>
  </si>
  <si>
    <t>conf_12</t>
  </si>
  <si>
    <t>conf_13</t>
  </si>
  <si>
    <t>conf_14</t>
  </si>
  <si>
    <t>conf_15</t>
  </si>
  <si>
    <t>conf_16</t>
  </si>
  <si>
    <t>conf_17</t>
  </si>
  <si>
    <t>conf_18</t>
  </si>
  <si>
    <t>conf_19</t>
  </si>
  <si>
    <t>conf_20</t>
  </si>
  <si>
    <t>conformer</t>
  </si>
  <si>
    <t>Reference</t>
  </si>
  <si>
    <t>Row Labels</t>
  </si>
  <si>
    <t>Grand Total</t>
  </si>
  <si>
    <t>Average of RMSD (A)</t>
  </si>
  <si>
    <t>StdDev of RMSD (A)3</t>
  </si>
  <si>
    <t>Min of RMSD (A)2</t>
  </si>
  <si>
    <t>Column Labels</t>
  </si>
  <si>
    <t>RMSD</t>
  </si>
  <si>
    <t>onf_20</t>
  </si>
  <si>
    <t>onf_12</t>
  </si>
  <si>
    <t>onf_14</t>
  </si>
  <si>
    <t>onf_7</t>
  </si>
  <si>
    <t>Count of Conformer</t>
  </si>
  <si>
    <t>Average of RMSD</t>
  </si>
  <si>
    <t>StdDev of RMSD2</t>
  </si>
  <si>
    <t>confid</t>
  </si>
  <si>
    <t>Max of confid</t>
  </si>
  <si>
    <t>ref_1 vs ref_2  -&gt;  best(A_state=2, B_state=3)  RMSD=0.072 Å</t>
  </si>
  <si>
    <t>ref_1 vs ref_3  -&gt;  best(A_state=10, B_state=1)  RMSD=0.095 Å</t>
  </si>
  <si>
    <t>ref_1 vs ref_4  -&gt;  best(A_state=10, B_state=12)  RMSD=0.025 Å</t>
  </si>
  <si>
    <t>ref_1 vs ref_5  -&gt;  best(A_state=2, B_state=10)  RMSD=0.035 Å</t>
  </si>
  <si>
    <t>ref_1 vs ref_6  -&gt;  best(A_state=2, B_state=4)  RMSD=0.060 Å</t>
  </si>
  <si>
    <t>ref_2 vs ref_3  -&gt;  best(A_state=9, B_state=1)  RMSD=0.131 Å</t>
  </si>
  <si>
    <t>ref_2 vs ref_4  -&gt;  best(A_state=4, B_state=7)  RMSD=0.035 Å</t>
  </si>
  <si>
    <t>ref_2 vs ref_5  -&gt;  best(A_state=9, B_state=6)  RMSD=0.086 Å</t>
  </si>
  <si>
    <t>ref_2 vs ref_6  -&gt;  best(A_state=8, B_state=4)  RMSD=0.056 Å</t>
  </si>
  <si>
    <t>ref_3 vs ref_4  -&gt;  best(A_state=1, B_state=11)  RMSD=0.072 Å</t>
  </si>
  <si>
    <t>ref_3 vs ref_5  -&gt;  best(A_state=1, B_state=1)  RMSD=0.087 Å</t>
  </si>
  <si>
    <t>ref_3 vs ref_6  -&gt;  best(A_state=1, B_state=2)  RMSD=0.151 Å</t>
  </si>
  <si>
    <t>ref_4 vs ref_5  -&gt;  best(A_state=1, B_state=4)  RMSD=0.028 Å</t>
  </si>
  <si>
    <t>ref_4 vs ref_6  -&gt;  best(A_state=8, B_state=8)  RMSD=0.071 Å</t>
  </si>
  <si>
    <t>ref_5 vs ref_6  -&gt;  best(A_state=10, B_state=2)  RMSD=0.130 Å</t>
  </si>
  <si>
    <t>=== Mean RMSD across all state pairs for reference objects ===</t>
  </si>
  <si>
    <t>Core: resi 19-43 and (name P+O5'+C5'+C4'+C3'+O3'+O1P+O2P+OP1+OP2)</t>
  </si>
  <si>
    <t>refA</t>
  </si>
  <si>
    <t>refB</t>
  </si>
  <si>
    <t>mean_RMSD(Å)</t>
  </si>
  <si>
    <t>min</t>
  </si>
  <si>
    <t>max</t>
  </si>
  <si>
    <t>n_pairs</t>
  </si>
  <si>
    <t>ref_1</t>
  </si>
  <si>
    <t>ref_2</t>
  </si>
  <si>
    <t>ref_3</t>
  </si>
  <si>
    <t>ref_4</t>
  </si>
  <si>
    <t>ref_5</t>
  </si>
  <si>
    <t>ref_6</t>
  </si>
  <si>
    <t xml:space="preserve">each reference less than 1 angstrom- likely due to noise differences etc -all same backbone conformation </t>
  </si>
  <si>
    <t>ref</t>
  </si>
  <si>
    <t>state</t>
  </si>
  <si>
    <t>M1_bulgeLoop_RMSD(A)</t>
  </si>
  <si>
    <t>M2_bend_angle(deg)</t>
  </si>
  <si>
    <t>M3_majorGroove(A)</t>
  </si>
  <si>
    <t>M4_chi22</t>
  </si>
  <si>
    <t>M4_chi23</t>
  </si>
  <si>
    <t>M4_chi24</t>
  </si>
  <si>
    <t>M4_chi25</t>
  </si>
  <si>
    <t>M4_chi39</t>
  </si>
  <si>
    <t>M4_chi40</t>
  </si>
  <si>
    <t>M4_chi41</t>
  </si>
  <si>
    <t>M4_chi42</t>
  </si>
  <si>
    <t>M4_chi43</t>
  </si>
  <si>
    <t>NA</t>
  </si>
  <si>
    <t>ref_0</t>
  </si>
  <si>
    <t>ref 0 is apo</t>
  </si>
  <si>
    <t>ref_1=6mce</t>
  </si>
  <si>
    <t>ref_2=2kx5</t>
  </si>
  <si>
    <t>ref_6-6d2u</t>
  </si>
  <si>
    <t>ref_3-1uud</t>
  </si>
  <si>
    <t>ref_4-1lvj</t>
  </si>
  <si>
    <t>ref_5-2l8h</t>
  </si>
  <si>
    <t>ref_0 is apo</t>
  </si>
  <si>
    <t>Average of M1_bulgeLoop_RMSD(A)</t>
  </si>
  <si>
    <t>StdDev of M1_bulgeLoop_RMSD(A)</t>
  </si>
  <si>
    <t>Average of M3_majorGroove(A)</t>
  </si>
  <si>
    <t>StdDev of M3_majorGroove(A)2</t>
  </si>
  <si>
    <t>Average of M4_chi22</t>
  </si>
  <si>
    <t>StdDev of M4_chi22_2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</si>
</sst>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20"/>
              <c:pt idx="0">
                <c:v>conf_1</c:v>
              </c:pt>
              <c:pt idx="1">
                <c:v>conf_10</c:v>
              </c:pt>
              <c:pt idx="2">
                <c:v>conf_11</c:v>
              </c:pt>
              <c:pt idx="3">
                <c:v>conf_12</c:v>
              </c:pt>
              <c:pt idx="4">
                <c:v>conf_13</c:v>
              </c:pt>
              <c:pt idx="5">
                <c:v>conf_14</c:v>
              </c:pt>
              <c:pt idx="6">
                <c:v>conf_15</c:v>
              </c:pt>
              <c:pt idx="7">
                <c:v>conf_16</c:v>
              </c:pt>
              <c:pt idx="8">
                <c:v>conf_17</c:v>
              </c:pt>
              <c:pt idx="9">
                <c:v>conf_18</c:v>
              </c:pt>
              <c:pt idx="10">
                <c:v>conf_19</c:v>
              </c:pt>
              <c:pt idx="11">
                <c:v>conf_2</c:v>
              </c:pt>
              <c:pt idx="12">
                <c:v>conf_20</c:v>
              </c:pt>
              <c:pt idx="13">
                <c:v>conf_3</c:v>
              </c:pt>
              <c:pt idx="14">
                <c:v>conf_4</c:v>
              </c:pt>
              <c:pt idx="15">
                <c:v>conf_5</c:v>
              </c:pt>
              <c:pt idx="16">
                <c:v>conf_6</c:v>
              </c:pt>
              <c:pt idx="17">
                <c:v>conf_7</c:v>
              </c:pt>
              <c:pt idx="18">
                <c:v>conf_8</c:v>
              </c:pt>
              <c:pt idx="19">
                <c:v>conf_9</c:v>
              </c:pt>
            </c:strLit>
          </c:cat>
          <c:val>
            <c:numLit>
              <c:formatCode>General</c:formatCode>
              <c:ptCount val="20"/>
              <c:pt idx="0">
                <c:v>0.68830000000000013</c:v>
              </c:pt>
              <c:pt idx="1">
                <c:v>0.68979999999999997</c:v>
              </c:pt>
              <c:pt idx="2">
                <c:v>0.66920000000000002</c:v>
              </c:pt>
              <c:pt idx="3">
                <c:v>0.11269999999999999</c:v>
              </c:pt>
              <c:pt idx="4">
                <c:v>0.70469999999999988</c:v>
              </c:pt>
              <c:pt idx="5">
                <c:v>0.12240000000000002</c:v>
              </c:pt>
              <c:pt idx="6">
                <c:v>0.22140000000000004</c:v>
              </c:pt>
              <c:pt idx="7">
                <c:v>0.1487</c:v>
              </c:pt>
              <c:pt idx="8">
                <c:v>0.65380000000000016</c:v>
              </c:pt>
              <c:pt idx="9">
                <c:v>0.68010000000000015</c:v>
              </c:pt>
              <c:pt idx="10">
                <c:v>0.15859999999999999</c:v>
              </c:pt>
              <c:pt idx="11">
                <c:v>0.61959999999999993</c:v>
              </c:pt>
              <c:pt idx="12">
                <c:v>0.1065</c:v>
              </c:pt>
              <c:pt idx="13">
                <c:v>0.62919999999999998</c:v>
              </c:pt>
              <c:pt idx="14">
                <c:v>0.61519999999999997</c:v>
              </c:pt>
              <c:pt idx="15">
                <c:v>0.64450000000000007</c:v>
              </c:pt>
              <c:pt idx="16">
                <c:v>0.60909999999999997</c:v>
              </c:pt>
              <c:pt idx="17">
                <c:v>0.20740000000000003</c:v>
              </c:pt>
              <c:pt idx="18">
                <c:v>0.6885</c:v>
              </c:pt>
              <c:pt idx="19">
                <c:v>0.62260000000000004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3AF-4CB8-A699-A1320394E8D1}"/>
            </c:ext>
          </c:extLst>
        </c:ser>
        <c:ser>
          <c:idx val="1"/>
          <c:order val="1"/>
          <c:tx>
            <c:v>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20"/>
              <c:pt idx="0">
                <c:v>conf_1</c:v>
              </c:pt>
              <c:pt idx="1">
                <c:v>conf_10</c:v>
              </c:pt>
              <c:pt idx="2">
                <c:v>conf_11</c:v>
              </c:pt>
              <c:pt idx="3">
                <c:v>conf_12</c:v>
              </c:pt>
              <c:pt idx="4">
                <c:v>conf_13</c:v>
              </c:pt>
              <c:pt idx="5">
                <c:v>conf_14</c:v>
              </c:pt>
              <c:pt idx="6">
                <c:v>conf_15</c:v>
              </c:pt>
              <c:pt idx="7">
                <c:v>conf_16</c:v>
              </c:pt>
              <c:pt idx="8">
                <c:v>conf_17</c:v>
              </c:pt>
              <c:pt idx="9">
                <c:v>conf_18</c:v>
              </c:pt>
              <c:pt idx="10">
                <c:v>conf_19</c:v>
              </c:pt>
              <c:pt idx="11">
                <c:v>conf_2</c:v>
              </c:pt>
              <c:pt idx="12">
                <c:v>conf_20</c:v>
              </c:pt>
              <c:pt idx="13">
                <c:v>conf_3</c:v>
              </c:pt>
              <c:pt idx="14">
                <c:v>conf_4</c:v>
              </c:pt>
              <c:pt idx="15">
                <c:v>conf_5</c:v>
              </c:pt>
              <c:pt idx="16">
                <c:v>conf_6</c:v>
              </c:pt>
              <c:pt idx="17">
                <c:v>conf_7</c:v>
              </c:pt>
              <c:pt idx="18">
                <c:v>conf_8</c:v>
              </c:pt>
              <c:pt idx="19">
                <c:v>conf_9</c:v>
              </c:pt>
            </c:strLit>
          </c:cat>
          <c:val>
            <c:numLit>
              <c:formatCode>General</c:formatCode>
              <c:ptCount val="20"/>
              <c:pt idx="0">
                <c:v>0.66910000000000003</c:v>
              </c:pt>
              <c:pt idx="1">
                <c:v>0.66739999999999999</c:v>
              </c:pt>
              <c:pt idx="2">
                <c:v>0.65340000000000009</c:v>
              </c:pt>
              <c:pt idx="3">
                <c:v>3.6300000000000006E-2</c:v>
              </c:pt>
              <c:pt idx="4">
                <c:v>0.68200000000000005</c:v>
              </c:pt>
              <c:pt idx="5">
                <c:v>7.1999999999999995E-2</c:v>
              </c:pt>
              <c:pt idx="6">
                <c:v>0.17679999999999998</c:v>
              </c:pt>
              <c:pt idx="7">
                <c:v>0.15899999999999997</c:v>
              </c:pt>
              <c:pt idx="8">
                <c:v>0.6372000000000001</c:v>
              </c:pt>
              <c:pt idx="9">
                <c:v>0.65800000000000014</c:v>
              </c:pt>
              <c:pt idx="10">
                <c:v>0.16919999999999999</c:v>
              </c:pt>
              <c:pt idx="11">
                <c:v>0.61489999999999989</c:v>
              </c:pt>
              <c:pt idx="12">
                <c:v>0.12750000000000003</c:v>
              </c:pt>
              <c:pt idx="13">
                <c:v>0.62169999999999992</c:v>
              </c:pt>
              <c:pt idx="14">
                <c:v>0.60980000000000001</c:v>
              </c:pt>
              <c:pt idx="15">
                <c:v>0.63139999999999996</c:v>
              </c:pt>
              <c:pt idx="16">
                <c:v>0.61229999999999996</c:v>
              </c:pt>
              <c:pt idx="17">
                <c:v>0.14540000000000003</c:v>
              </c:pt>
              <c:pt idx="18">
                <c:v>0.66379999999999995</c:v>
              </c:pt>
              <c:pt idx="19">
                <c:v>0.61939999999999995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3AF-4CB8-A699-A1320394E8D1}"/>
            </c:ext>
          </c:extLst>
        </c:ser>
        <c:ser>
          <c:idx val="2"/>
          <c:order val="2"/>
          <c:tx>
            <c:v>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20"/>
              <c:pt idx="0">
                <c:v>conf_1</c:v>
              </c:pt>
              <c:pt idx="1">
                <c:v>conf_10</c:v>
              </c:pt>
              <c:pt idx="2">
                <c:v>conf_11</c:v>
              </c:pt>
              <c:pt idx="3">
                <c:v>conf_12</c:v>
              </c:pt>
              <c:pt idx="4">
                <c:v>conf_13</c:v>
              </c:pt>
              <c:pt idx="5">
                <c:v>conf_14</c:v>
              </c:pt>
              <c:pt idx="6">
                <c:v>conf_15</c:v>
              </c:pt>
              <c:pt idx="7">
                <c:v>conf_16</c:v>
              </c:pt>
              <c:pt idx="8">
                <c:v>conf_17</c:v>
              </c:pt>
              <c:pt idx="9">
                <c:v>conf_18</c:v>
              </c:pt>
              <c:pt idx="10">
                <c:v>conf_19</c:v>
              </c:pt>
              <c:pt idx="11">
                <c:v>conf_2</c:v>
              </c:pt>
              <c:pt idx="12">
                <c:v>conf_20</c:v>
              </c:pt>
              <c:pt idx="13">
                <c:v>conf_3</c:v>
              </c:pt>
              <c:pt idx="14">
                <c:v>conf_4</c:v>
              </c:pt>
              <c:pt idx="15">
                <c:v>conf_5</c:v>
              </c:pt>
              <c:pt idx="16">
                <c:v>conf_6</c:v>
              </c:pt>
              <c:pt idx="17">
                <c:v>conf_7</c:v>
              </c:pt>
              <c:pt idx="18">
                <c:v>conf_8</c:v>
              </c:pt>
              <c:pt idx="19">
                <c:v>conf_9</c:v>
              </c:pt>
            </c:strLit>
          </c:cat>
          <c:val>
            <c:numLit>
              <c:formatCode>General</c:formatCode>
              <c:ptCount val="20"/>
              <c:pt idx="0">
                <c:v>0.73799999999999999</c:v>
              </c:pt>
              <c:pt idx="1">
                <c:v>0.73799999999999999</c:v>
              </c:pt>
              <c:pt idx="2">
                <c:v>0.71699999999999997</c:v>
              </c:pt>
              <c:pt idx="3">
                <c:v>0.11899999999999999</c:v>
              </c:pt>
              <c:pt idx="4">
                <c:v>0.752</c:v>
              </c:pt>
              <c:pt idx="5">
                <c:v>0.14899999999999999</c:v>
              </c:pt>
              <c:pt idx="6">
                <c:v>0.26</c:v>
              </c:pt>
              <c:pt idx="7">
                <c:v>0.12</c:v>
              </c:pt>
              <c:pt idx="8">
                <c:v>0.70399999999999996</c:v>
              </c:pt>
              <c:pt idx="9">
                <c:v>0.72899999999999998</c:v>
              </c:pt>
              <c:pt idx="10">
                <c:v>0.122</c:v>
              </c:pt>
              <c:pt idx="11">
                <c:v>0.65700000000000003</c:v>
              </c:pt>
              <c:pt idx="12">
                <c:v>7.4999999999999997E-2</c:v>
              </c:pt>
              <c:pt idx="13">
                <c:v>0.67100000000000004</c:v>
              </c:pt>
              <c:pt idx="14">
                <c:v>0.65200000000000002</c:v>
              </c:pt>
              <c:pt idx="15">
                <c:v>0.68600000000000005</c:v>
              </c:pt>
              <c:pt idx="16">
                <c:v>0.64800000000000002</c:v>
              </c:pt>
              <c:pt idx="17">
                <c:v>0.23499999999999999</c:v>
              </c:pt>
              <c:pt idx="18">
                <c:v>0.73799999999999999</c:v>
              </c:pt>
              <c:pt idx="19">
                <c:v>0.66600000000000004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3AF-4CB8-A699-A1320394E8D1}"/>
            </c:ext>
          </c:extLst>
        </c:ser>
        <c:ser>
          <c:idx val="3"/>
          <c:order val="3"/>
          <c:tx>
            <c:v>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20"/>
              <c:pt idx="0">
                <c:v>conf_1</c:v>
              </c:pt>
              <c:pt idx="1">
                <c:v>conf_10</c:v>
              </c:pt>
              <c:pt idx="2">
                <c:v>conf_11</c:v>
              </c:pt>
              <c:pt idx="3">
                <c:v>conf_12</c:v>
              </c:pt>
              <c:pt idx="4">
                <c:v>conf_13</c:v>
              </c:pt>
              <c:pt idx="5">
                <c:v>conf_14</c:v>
              </c:pt>
              <c:pt idx="6">
                <c:v>conf_15</c:v>
              </c:pt>
              <c:pt idx="7">
                <c:v>conf_16</c:v>
              </c:pt>
              <c:pt idx="8">
                <c:v>conf_17</c:v>
              </c:pt>
              <c:pt idx="9">
                <c:v>conf_18</c:v>
              </c:pt>
              <c:pt idx="10">
                <c:v>conf_19</c:v>
              </c:pt>
              <c:pt idx="11">
                <c:v>conf_2</c:v>
              </c:pt>
              <c:pt idx="12">
                <c:v>conf_20</c:v>
              </c:pt>
              <c:pt idx="13">
                <c:v>conf_3</c:v>
              </c:pt>
              <c:pt idx="14">
                <c:v>conf_4</c:v>
              </c:pt>
              <c:pt idx="15">
                <c:v>conf_5</c:v>
              </c:pt>
              <c:pt idx="16">
                <c:v>conf_6</c:v>
              </c:pt>
              <c:pt idx="17">
                <c:v>conf_7</c:v>
              </c:pt>
              <c:pt idx="18">
                <c:v>conf_8</c:v>
              </c:pt>
              <c:pt idx="19">
                <c:v>conf_9</c:v>
              </c:pt>
            </c:strLit>
          </c:cat>
          <c:val>
            <c:numLit>
              <c:formatCode>General</c:formatCode>
              <c:ptCount val="20"/>
              <c:pt idx="0">
                <c:v>0.67633333333333334</c:v>
              </c:pt>
              <c:pt idx="1">
                <c:v>0.67425000000000013</c:v>
              </c:pt>
              <c:pt idx="2">
                <c:v>0.66058333333333341</c:v>
              </c:pt>
              <c:pt idx="3">
                <c:v>0.12449999999999999</c:v>
              </c:pt>
              <c:pt idx="4">
                <c:v>0.68766666666666676</c:v>
              </c:pt>
              <c:pt idx="5">
                <c:v>8.4000000000000005E-2</c:v>
              </c:pt>
              <c:pt idx="6">
                <c:v>0.12041666666666667</c:v>
              </c:pt>
              <c:pt idx="7">
                <c:v>0.19900000000000004</c:v>
              </c:pt>
              <c:pt idx="8">
                <c:v>0.64916666666666678</c:v>
              </c:pt>
              <c:pt idx="9">
                <c:v>0.66725000000000001</c:v>
              </c:pt>
              <c:pt idx="10">
                <c:v>0.18916666666666668</c:v>
              </c:pt>
              <c:pt idx="11">
                <c:v>0.62458333333333327</c:v>
              </c:pt>
              <c:pt idx="12">
                <c:v>0.17191666666666663</c:v>
              </c:pt>
              <c:pt idx="13">
                <c:v>0.63116666666666665</c:v>
              </c:pt>
              <c:pt idx="14">
                <c:v>0.62</c:v>
              </c:pt>
              <c:pt idx="15">
                <c:v>0.63841666666666663</c:v>
              </c:pt>
              <c:pt idx="16">
                <c:v>0.62558333333333338</c:v>
              </c:pt>
              <c:pt idx="17">
                <c:v>0.12775</c:v>
              </c:pt>
              <c:pt idx="18">
                <c:v>0.67325000000000002</c:v>
              </c:pt>
              <c:pt idx="19">
                <c:v>0.62991666666666668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F3AF-4CB8-A699-A1320394E8D1}"/>
            </c:ext>
          </c:extLst>
        </c:ser>
        <c:ser>
          <c:idx val="4"/>
          <c:order val="4"/>
          <c:tx>
            <c:v>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20"/>
              <c:pt idx="0">
                <c:v>conf_1</c:v>
              </c:pt>
              <c:pt idx="1">
                <c:v>conf_10</c:v>
              </c:pt>
              <c:pt idx="2">
                <c:v>conf_11</c:v>
              </c:pt>
              <c:pt idx="3">
                <c:v>conf_12</c:v>
              </c:pt>
              <c:pt idx="4">
                <c:v>conf_13</c:v>
              </c:pt>
              <c:pt idx="5">
                <c:v>conf_14</c:v>
              </c:pt>
              <c:pt idx="6">
                <c:v>conf_15</c:v>
              </c:pt>
              <c:pt idx="7">
                <c:v>conf_16</c:v>
              </c:pt>
              <c:pt idx="8">
                <c:v>conf_17</c:v>
              </c:pt>
              <c:pt idx="9">
                <c:v>conf_18</c:v>
              </c:pt>
              <c:pt idx="10">
                <c:v>conf_19</c:v>
              </c:pt>
              <c:pt idx="11">
                <c:v>conf_2</c:v>
              </c:pt>
              <c:pt idx="12">
                <c:v>conf_20</c:v>
              </c:pt>
              <c:pt idx="13">
                <c:v>conf_3</c:v>
              </c:pt>
              <c:pt idx="14">
                <c:v>conf_4</c:v>
              </c:pt>
              <c:pt idx="15">
                <c:v>conf_5</c:v>
              </c:pt>
              <c:pt idx="16">
                <c:v>conf_6</c:v>
              </c:pt>
              <c:pt idx="17">
                <c:v>conf_7</c:v>
              </c:pt>
              <c:pt idx="18">
                <c:v>conf_8</c:v>
              </c:pt>
              <c:pt idx="19">
                <c:v>conf_9</c:v>
              </c:pt>
            </c:strLit>
          </c:cat>
          <c:val>
            <c:numLit>
              <c:formatCode>General</c:formatCode>
              <c:ptCount val="20"/>
              <c:pt idx="0">
                <c:v>0.71679999999999988</c:v>
              </c:pt>
              <c:pt idx="1">
                <c:v>0.71679999999999988</c:v>
              </c:pt>
              <c:pt idx="2">
                <c:v>0.69789999999999996</c:v>
              </c:pt>
              <c:pt idx="3">
                <c:v>6.2400000000000011E-2</c:v>
              </c:pt>
              <c:pt idx="4">
                <c:v>0.73170000000000002</c:v>
              </c:pt>
              <c:pt idx="5">
                <c:v>0.1123</c:v>
              </c:pt>
              <c:pt idx="6">
                <c:v>0.22880000000000003</c:v>
              </c:pt>
              <c:pt idx="7">
                <c:v>8.2799999999999999E-2</c:v>
              </c:pt>
              <c:pt idx="8">
                <c:v>0.68030000000000002</c:v>
              </c:pt>
              <c:pt idx="9">
                <c:v>0.70640000000000003</c:v>
              </c:pt>
              <c:pt idx="10">
                <c:v>0.10900000000000001</c:v>
              </c:pt>
              <c:pt idx="11">
                <c:v>0.6452</c:v>
              </c:pt>
              <c:pt idx="12">
                <c:v>6.0599999999999987E-2</c:v>
              </c:pt>
              <c:pt idx="13">
                <c:v>0.65660000000000007</c:v>
              </c:pt>
              <c:pt idx="14">
                <c:v>0.63919999999999999</c:v>
              </c:pt>
              <c:pt idx="15">
                <c:v>0.67120000000000002</c:v>
              </c:pt>
              <c:pt idx="16">
                <c:v>0.63480000000000003</c:v>
              </c:pt>
              <c:pt idx="17">
                <c:v>0.21670000000000003</c:v>
              </c:pt>
              <c:pt idx="18">
                <c:v>0.71339999999999992</c:v>
              </c:pt>
              <c:pt idx="19">
                <c:v>0.65100000000000002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F3AF-4CB8-A699-A1320394E8D1}"/>
            </c:ext>
          </c:extLst>
        </c:ser>
        <c:ser>
          <c:idx val="5"/>
          <c:order val="5"/>
          <c:tx>
            <c:v>6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Lit>
              <c:ptCount val="20"/>
              <c:pt idx="0">
                <c:v>conf_1</c:v>
              </c:pt>
              <c:pt idx="1">
                <c:v>conf_10</c:v>
              </c:pt>
              <c:pt idx="2">
                <c:v>conf_11</c:v>
              </c:pt>
              <c:pt idx="3">
                <c:v>conf_12</c:v>
              </c:pt>
              <c:pt idx="4">
                <c:v>conf_13</c:v>
              </c:pt>
              <c:pt idx="5">
                <c:v>conf_14</c:v>
              </c:pt>
              <c:pt idx="6">
                <c:v>conf_15</c:v>
              </c:pt>
              <c:pt idx="7">
                <c:v>conf_16</c:v>
              </c:pt>
              <c:pt idx="8">
                <c:v>conf_17</c:v>
              </c:pt>
              <c:pt idx="9">
                <c:v>conf_18</c:v>
              </c:pt>
              <c:pt idx="10">
                <c:v>conf_19</c:v>
              </c:pt>
              <c:pt idx="11">
                <c:v>conf_2</c:v>
              </c:pt>
              <c:pt idx="12">
                <c:v>conf_20</c:v>
              </c:pt>
              <c:pt idx="13">
                <c:v>conf_3</c:v>
              </c:pt>
              <c:pt idx="14">
                <c:v>conf_4</c:v>
              </c:pt>
              <c:pt idx="15">
                <c:v>conf_5</c:v>
              </c:pt>
              <c:pt idx="16">
                <c:v>conf_6</c:v>
              </c:pt>
              <c:pt idx="17">
                <c:v>conf_7</c:v>
              </c:pt>
              <c:pt idx="18">
                <c:v>conf_8</c:v>
              </c:pt>
              <c:pt idx="19">
                <c:v>conf_9</c:v>
              </c:pt>
            </c:strLit>
          </c:cat>
          <c:val>
            <c:numLit>
              <c:formatCode>General</c:formatCode>
              <c:ptCount val="20"/>
              <c:pt idx="0">
                <c:v>0.6089</c:v>
              </c:pt>
              <c:pt idx="1">
                <c:v>0.54270000000000007</c:v>
              </c:pt>
              <c:pt idx="2">
                <c:v>0.63519999999999999</c:v>
              </c:pt>
              <c:pt idx="3">
                <c:v>0.127</c:v>
              </c:pt>
              <c:pt idx="4">
                <c:v>0.60209999999999997</c:v>
              </c:pt>
              <c:pt idx="5">
                <c:v>6.7199999999999996E-2</c:v>
              </c:pt>
              <c:pt idx="6">
                <c:v>0.15579999999999999</c:v>
              </c:pt>
              <c:pt idx="7">
                <c:v>0.20820000000000002</c:v>
              </c:pt>
              <c:pt idx="8">
                <c:v>0.43330000000000002</c:v>
              </c:pt>
              <c:pt idx="9">
                <c:v>0.44930000000000003</c:v>
              </c:pt>
              <c:pt idx="10">
                <c:v>0.22170000000000001</c:v>
              </c:pt>
              <c:pt idx="11">
                <c:v>0.60470000000000002</c:v>
              </c:pt>
              <c:pt idx="12">
                <c:v>0.157</c:v>
              </c:pt>
              <c:pt idx="13">
                <c:v>0.60819999999999996</c:v>
              </c:pt>
              <c:pt idx="14">
                <c:v>0.60030000000000006</c:v>
              </c:pt>
              <c:pt idx="15">
                <c:v>0.61749999999999994</c:v>
              </c:pt>
              <c:pt idx="16">
                <c:v>0.60299999999999998</c:v>
              </c:pt>
              <c:pt idx="17">
                <c:v>0.12559999999999999</c:v>
              </c:pt>
              <c:pt idx="18">
                <c:v>0.42869999999999997</c:v>
              </c:pt>
              <c:pt idx="19">
                <c:v>0.60450000000000004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F3AF-4CB8-A699-A1320394E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151631"/>
        <c:axId val="513150191"/>
      </c:lineChart>
      <c:catAx>
        <c:axId val="51315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50191"/>
        <c:crosses val="autoZero"/>
        <c:auto val="1"/>
        <c:lblAlgn val="ctr"/>
        <c:lblOffset val="100"/>
        <c:noMultiLvlLbl val="0"/>
      </c:catAx>
      <c:valAx>
        <c:axId val="51315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5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[RMSD Data Analysis.xlsx]count best match!PivotTable5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best match'!$B$3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 best match'!$A$4:$A$8</c:f>
              <c:strCache>
                <c:ptCount val="4"/>
                <c:pt idx="0">
                  <c:v>onf_12</c:v>
                </c:pt>
                <c:pt idx="1">
                  <c:v>onf_14</c:v>
                </c:pt>
                <c:pt idx="2">
                  <c:v>onf_20</c:v>
                </c:pt>
                <c:pt idx="3">
                  <c:v>onf_7</c:v>
                </c:pt>
              </c:strCache>
            </c:strRef>
          </c:cat>
          <c:val>
            <c:numRef>
              <c:f>'count best match'!$B$4:$B$8</c:f>
              <c:numCache>
                <c:formatCode>General</c:formatCode>
                <c:ptCount val="4"/>
                <c:pt idx="0">
                  <c:v>15</c:v>
                </c:pt>
                <c:pt idx="1">
                  <c:v>22</c:v>
                </c:pt>
                <c:pt idx="2">
                  <c:v>14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C-4D7D-B4A4-A19F1DB5B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88191"/>
        <c:axId val="42086751"/>
      </c:barChart>
      <c:catAx>
        <c:axId val="4208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6751"/>
        <c:crosses val="autoZero"/>
        <c:auto val="1"/>
        <c:lblAlgn val="ctr"/>
        <c:lblOffset val="100"/>
        <c:noMultiLvlLbl val="0"/>
      </c:catAx>
      <c:valAx>
        <c:axId val="4208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[RMSD Data Analysis.xlsx]best match line chart dist best!PivotTable7</c:name>
    <c:fmtId val="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'best match line chart dist best'!$B$3:$B$4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'best match line chart dist best'!$A$5:$A$17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'best match line chart dist best'!$B$5:$B$17</c:f>
              <c:numCache>
                <c:formatCode>General</c:formatCode>
                <c:ptCount val="12"/>
                <c:pt idx="0">
                  <c:v>9.1999999999999998E-2</c:v>
                </c:pt>
                <c:pt idx="1">
                  <c:v>9.2999999999999999E-2</c:v>
                </c:pt>
                <c:pt idx="2">
                  <c:v>0.108</c:v>
                </c:pt>
                <c:pt idx="3">
                  <c:v>0.113</c:v>
                </c:pt>
                <c:pt idx="4">
                  <c:v>0.11600000000000001</c:v>
                </c:pt>
                <c:pt idx="5">
                  <c:v>0.11</c:v>
                </c:pt>
                <c:pt idx="6">
                  <c:v>0.112</c:v>
                </c:pt>
                <c:pt idx="7">
                  <c:v>7.8E-2</c:v>
                </c:pt>
                <c:pt idx="8">
                  <c:v>0.111</c:v>
                </c:pt>
                <c:pt idx="9">
                  <c:v>0.109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CE-4489-AE80-7F4F989E90D4}"/>
            </c:ext>
          </c:extLst>
        </c:ser>
        <c:ser>
          <c:idx val="1"/>
          <c:order val="1"/>
          <c:tx>
            <c:strRef>
              <c:f>'best match line chart dist best'!$C$3:$C$4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'best match line chart dist best'!$A$5:$A$17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'best match line chart dist best'!$C$5:$C$17</c:f>
              <c:numCache>
                <c:formatCode>General</c:formatCode>
                <c:ptCount val="12"/>
                <c:pt idx="0">
                  <c:v>2.5999999999999999E-2</c:v>
                </c:pt>
                <c:pt idx="1">
                  <c:v>7.0000000000000007E-2</c:v>
                </c:pt>
                <c:pt idx="2">
                  <c:v>4.3999999999999997E-2</c:v>
                </c:pt>
                <c:pt idx="3">
                  <c:v>0.05</c:v>
                </c:pt>
                <c:pt idx="4">
                  <c:v>2.5000000000000001E-2</c:v>
                </c:pt>
                <c:pt idx="5">
                  <c:v>2.5000000000000001E-2</c:v>
                </c:pt>
                <c:pt idx="6">
                  <c:v>2.4E-2</c:v>
                </c:pt>
                <c:pt idx="7">
                  <c:v>2.7E-2</c:v>
                </c:pt>
                <c:pt idx="8">
                  <c:v>3.9E-2</c:v>
                </c:pt>
                <c:pt idx="9">
                  <c:v>2.1999999999999999E-2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CE-4489-AE80-7F4F989E90D4}"/>
            </c:ext>
          </c:extLst>
        </c:ser>
        <c:ser>
          <c:idx val="2"/>
          <c:order val="2"/>
          <c:tx>
            <c:strRef>
              <c:f>'best match line chart dist best'!$D$3:$D$4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'best match line chart dist best'!$A$5:$A$17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'best match line chart dist best'!$D$5:$D$17</c:f>
              <c:numCache>
                <c:formatCode>General</c:formatCode>
                <c:ptCount val="12"/>
                <c:pt idx="0">
                  <c:v>7.4999999999999997E-2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CE-4489-AE80-7F4F989E90D4}"/>
            </c:ext>
          </c:extLst>
        </c:ser>
        <c:ser>
          <c:idx val="3"/>
          <c:order val="3"/>
          <c:tx>
            <c:strRef>
              <c:f>'best match line chart dist best'!$E$3:$E$4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'best match line chart dist best'!$A$5:$A$17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'best match line chart dist best'!$E$5:$E$17</c:f>
              <c:numCache>
                <c:formatCode>General</c:formatCode>
                <c:ptCount val="12"/>
                <c:pt idx="0">
                  <c:v>9.4E-2</c:v>
                </c:pt>
                <c:pt idx="1">
                  <c:v>6.8000000000000005E-2</c:v>
                </c:pt>
                <c:pt idx="2">
                  <c:v>6.7000000000000004E-2</c:v>
                </c:pt>
                <c:pt idx="3">
                  <c:v>9.5000000000000001E-2</c:v>
                </c:pt>
                <c:pt idx="4">
                  <c:v>6.5000000000000002E-2</c:v>
                </c:pt>
                <c:pt idx="5">
                  <c:v>6.5000000000000002E-2</c:v>
                </c:pt>
                <c:pt idx="6">
                  <c:v>0.09</c:v>
                </c:pt>
                <c:pt idx="7">
                  <c:v>9.4E-2</c:v>
                </c:pt>
                <c:pt idx="8">
                  <c:v>8.8999999999999996E-2</c:v>
                </c:pt>
                <c:pt idx="9">
                  <c:v>9.6000000000000002E-2</c:v>
                </c:pt>
                <c:pt idx="10">
                  <c:v>7.0999999999999994E-2</c:v>
                </c:pt>
                <c:pt idx="11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CE-4489-AE80-7F4F989E90D4}"/>
            </c:ext>
          </c:extLst>
        </c:ser>
        <c:ser>
          <c:idx val="4"/>
          <c:order val="4"/>
          <c:tx>
            <c:strRef>
              <c:f>'best match line chart dist best'!$F$3:$F$4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'best match line chart dist best'!$A$5:$A$17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'best match line chart dist best'!$F$5:$F$17</c:f>
              <c:numCache>
                <c:formatCode>General</c:formatCode>
                <c:ptCount val="12"/>
                <c:pt idx="0">
                  <c:v>6.0999999999999999E-2</c:v>
                </c:pt>
                <c:pt idx="1">
                  <c:v>6.2E-2</c:v>
                </c:pt>
                <c:pt idx="2">
                  <c:v>5.8999999999999997E-2</c:v>
                </c:pt>
                <c:pt idx="3">
                  <c:v>5.8000000000000003E-2</c:v>
                </c:pt>
                <c:pt idx="4">
                  <c:v>0.06</c:v>
                </c:pt>
                <c:pt idx="5">
                  <c:v>0.06</c:v>
                </c:pt>
                <c:pt idx="6">
                  <c:v>6.0999999999999999E-2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CE-4489-AE80-7F4F989E90D4}"/>
            </c:ext>
          </c:extLst>
        </c:ser>
        <c:ser>
          <c:idx val="5"/>
          <c:order val="5"/>
          <c:tx>
            <c:strRef>
              <c:f>'best match line chart dist best'!$G$3:$G$4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'best match line chart dist best'!$A$5:$A$17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'best match line chart dist best'!$G$5:$G$17</c:f>
              <c:numCache>
                <c:formatCode>General</c:formatCode>
                <c:ptCount val="12"/>
                <c:pt idx="0">
                  <c:v>5.3999999999999999E-2</c:v>
                </c:pt>
                <c:pt idx="1">
                  <c:v>5.1999999999999998E-2</c:v>
                </c:pt>
                <c:pt idx="2">
                  <c:v>5.7000000000000002E-2</c:v>
                </c:pt>
                <c:pt idx="3">
                  <c:v>5.5E-2</c:v>
                </c:pt>
                <c:pt idx="4">
                  <c:v>5.6000000000000001E-2</c:v>
                </c:pt>
                <c:pt idx="5">
                  <c:v>8.5999999999999993E-2</c:v>
                </c:pt>
                <c:pt idx="6">
                  <c:v>8.3000000000000004E-2</c:v>
                </c:pt>
                <c:pt idx="7">
                  <c:v>5.6000000000000001E-2</c:v>
                </c:pt>
                <c:pt idx="8">
                  <c:v>8.5000000000000006E-2</c:v>
                </c:pt>
                <c:pt idx="9">
                  <c:v>8.7999999999999995E-2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CE-4489-AE80-7F4F989E9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096799"/>
        <c:axId val="811097759"/>
      </c:lineChart>
      <c:catAx>
        <c:axId val="81109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097759"/>
        <c:crosses val="autoZero"/>
        <c:auto val="1"/>
        <c:lblAlgn val="ctr"/>
        <c:lblOffset val="100"/>
        <c:noMultiLvlLbl val="0"/>
      </c:catAx>
      <c:valAx>
        <c:axId val="81109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09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'm4 22'!$J$65:$J$70</c:f>
                <c:numCache>
                  <c:formatCode>General</c:formatCode>
                  <c:ptCount val="6"/>
                  <c:pt idx="0">
                    <c:v>1.6651993540963923</c:v>
                  </c:pt>
                  <c:pt idx="1">
                    <c:v>0.43767060165996108</c:v>
                  </c:pt>
                  <c:pt idx="2">
                    <c:v>0</c:v>
                  </c:pt>
                  <c:pt idx="3">
                    <c:v>5.3306716843241011</c:v>
                  </c:pt>
                  <c:pt idx="4">
                    <c:v>0.91651513899102688</c:v>
                  </c:pt>
                  <c:pt idx="5">
                    <c:v>0.51736511930306872</c:v>
                  </c:pt>
                </c:numCache>
              </c:numRef>
            </c:plus>
            <c:minus>
              <c:numRef>
                <c:f>'m4 22'!$J$65:$J$70</c:f>
                <c:numCache>
                  <c:formatCode>General</c:formatCode>
                  <c:ptCount val="6"/>
                  <c:pt idx="0">
                    <c:v>1.6651993540963923</c:v>
                  </c:pt>
                  <c:pt idx="1">
                    <c:v>0.43767060165996108</c:v>
                  </c:pt>
                  <c:pt idx="2">
                    <c:v>0</c:v>
                  </c:pt>
                  <c:pt idx="3">
                    <c:v>5.3306716843241011</c:v>
                  </c:pt>
                  <c:pt idx="4">
                    <c:v>0.91651513899102688</c:v>
                  </c:pt>
                  <c:pt idx="5">
                    <c:v>0.51736511930306872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'm4 22'!$H$65:$H$70</c:f>
              <c:strCache>
                <c:ptCount val="6"/>
                <c:pt idx="0">
                  <c:v>ref_1</c:v>
                </c:pt>
                <c:pt idx="1">
                  <c:v>ref_2</c:v>
                </c:pt>
                <c:pt idx="2">
                  <c:v>ref_3</c:v>
                </c:pt>
                <c:pt idx="3">
                  <c:v>ref_4</c:v>
                </c:pt>
                <c:pt idx="4">
                  <c:v>ref_5</c:v>
                </c:pt>
                <c:pt idx="5">
                  <c:v>ref_6</c:v>
                </c:pt>
              </c:strCache>
            </c:strRef>
          </c:cat>
          <c:val>
            <c:numRef>
              <c:f>'m4 22'!$I$65:$I$70</c:f>
              <c:numCache>
                <c:formatCode>General</c:formatCode>
                <c:ptCount val="6"/>
                <c:pt idx="0">
                  <c:v>-156.68</c:v>
                </c:pt>
                <c:pt idx="1">
                  <c:v>-154.73999999999998</c:v>
                </c:pt>
                <c:pt idx="2">
                  <c:v>-162</c:v>
                </c:pt>
                <c:pt idx="3">
                  <c:v>-153.88333333333335</c:v>
                </c:pt>
                <c:pt idx="4">
                  <c:v>-122.7</c:v>
                </c:pt>
                <c:pt idx="5">
                  <c:v>-157.20999999999998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6-4B62-A69E-A61C12B1B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026927"/>
        <c:axId val="932026447"/>
      </c:barChart>
      <c:catAx>
        <c:axId val="93202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026447"/>
        <c:crosses val="autoZero"/>
        <c:auto val="1"/>
        <c:lblAlgn val="ctr"/>
        <c:lblOffset val="100"/>
        <c:noMultiLvlLbl val="0"/>
      </c:catAx>
      <c:valAx>
        <c:axId val="93202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02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733814523184595E-2"/>
          <c:y val="0.19721055701370663"/>
          <c:w val="0.88882174103237099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'bulge and loop m1'!$F$3</c:f>
              <c:strCache>
                <c:ptCount val="1"/>
                <c:pt idx="0">
                  <c:v>Average of M1_bulgeLoop_RMSD(A)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'bulge and loop m1'!$G$4:$G$10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1.6348972104963961E-2</c:v>
                  </c:pt>
                  <c:pt idx="2">
                    <c:v>2.4010414407086032E-2</c:v>
                  </c:pt>
                  <c:pt idx="3">
                    <c:v>0</c:v>
                  </c:pt>
                  <c:pt idx="4">
                    <c:v>5.0207674772494625E-2</c:v>
                  </c:pt>
                  <c:pt idx="5">
                    <c:v>0.10423669645997474</c:v>
                  </c:pt>
                  <c:pt idx="6">
                    <c:v>4.9523170783426607E-2</c:v>
                  </c:pt>
                </c:numCache>
              </c:numRef>
            </c:plus>
            <c:minus>
              <c:numRef>
                <c:f>'bulge and loop m1'!$G$4:$G$10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1.6348972104963961E-2</c:v>
                  </c:pt>
                  <c:pt idx="2">
                    <c:v>2.4010414407086032E-2</c:v>
                  </c:pt>
                  <c:pt idx="3">
                    <c:v>0</c:v>
                  </c:pt>
                  <c:pt idx="4">
                    <c:v>5.0207674772494625E-2</c:v>
                  </c:pt>
                  <c:pt idx="5">
                    <c:v>0.10423669645997474</c:v>
                  </c:pt>
                  <c:pt idx="6">
                    <c:v>4.9523170783426607E-2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'bulge and loop m1'!$E$4:$E$10</c:f>
              <c:strCache>
                <c:ptCount val="7"/>
                <c:pt idx="0">
                  <c:v>ref_0</c:v>
                </c:pt>
                <c:pt idx="1">
                  <c:v>ref_1</c:v>
                </c:pt>
                <c:pt idx="2">
                  <c:v>ref_2</c:v>
                </c:pt>
                <c:pt idx="3">
                  <c:v>ref_3</c:v>
                </c:pt>
                <c:pt idx="4">
                  <c:v>ref_4</c:v>
                </c:pt>
                <c:pt idx="5">
                  <c:v>ref_5</c:v>
                </c:pt>
                <c:pt idx="6">
                  <c:v>ref_6</c:v>
                </c:pt>
              </c:strCache>
            </c:strRef>
          </c:cat>
          <c:val>
            <c:numRef>
              <c:f>'bulge and loop m1'!$F$4:$F$10</c:f>
              <c:numCache>
                <c:formatCode>General</c:formatCode>
                <c:ptCount val="7"/>
                <c:pt idx="0">
                  <c:v>0</c:v>
                </c:pt>
                <c:pt idx="1">
                  <c:v>0.1782</c:v>
                </c:pt>
                <c:pt idx="2">
                  <c:v>0.22549999999999998</c:v>
                </c:pt>
                <c:pt idx="3">
                  <c:v>0.107</c:v>
                </c:pt>
                <c:pt idx="4">
                  <c:v>0.13258333333333336</c:v>
                </c:pt>
                <c:pt idx="5">
                  <c:v>0.38419999999999999</c:v>
                </c:pt>
                <c:pt idx="6">
                  <c:v>0.26910000000000001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A-484C-AE4E-0875B8533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1982607"/>
        <c:axId val="901984527"/>
      </c:barChart>
      <c:catAx>
        <c:axId val="90198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984527"/>
        <c:crosses val="autoZero"/>
        <c:auto val="1"/>
        <c:lblAlgn val="ctr"/>
        <c:lblOffset val="100"/>
        <c:noMultiLvlLbl val="0"/>
      </c:catAx>
      <c:valAx>
        <c:axId val="90198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98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'groove changes m3'!$H$3:$H$9</c:f>
                <c:numCache>
                  <c:formatCode>General</c:formatCode>
                  <c:ptCount val="7"/>
                  <c:pt idx="0">
                    <c:v>0.9277674107345576</c:v>
                  </c:pt>
                  <c:pt idx="1">
                    <c:v>0.10667187487259377</c:v>
                  </c:pt>
                  <c:pt idx="2">
                    <c:v>6.1653151671988239E-2</c:v>
                  </c:pt>
                  <c:pt idx="3">
                    <c:v>0</c:v>
                  </c:pt>
                  <c:pt idx="4">
                    <c:v>0.17862267662856945</c:v>
                  </c:pt>
                  <c:pt idx="5">
                    <c:v>0.17424440051586201</c:v>
                  </c:pt>
                  <c:pt idx="6">
                    <c:v>4.3728963193947215E-2</c:v>
                  </c:pt>
                </c:numCache>
              </c:numRef>
            </c:plus>
            <c:minus>
              <c:numRef>
                <c:f>'groove changes m3'!$H$3:$H$9</c:f>
                <c:numCache>
                  <c:formatCode>General</c:formatCode>
                  <c:ptCount val="7"/>
                  <c:pt idx="0">
                    <c:v>0.9277674107345576</c:v>
                  </c:pt>
                  <c:pt idx="1">
                    <c:v>0.10667187487259377</c:v>
                  </c:pt>
                  <c:pt idx="2">
                    <c:v>6.1653151671988239E-2</c:v>
                  </c:pt>
                  <c:pt idx="3">
                    <c:v>0</c:v>
                  </c:pt>
                  <c:pt idx="4">
                    <c:v>0.17862267662856945</c:v>
                  </c:pt>
                  <c:pt idx="5">
                    <c:v>0.17424440051586201</c:v>
                  </c:pt>
                  <c:pt idx="6">
                    <c:v>4.3728963193947215E-2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'groove changes m3'!$F$3:$F$9</c:f>
              <c:strCache>
                <c:ptCount val="7"/>
                <c:pt idx="0">
                  <c:v>ref_0</c:v>
                </c:pt>
                <c:pt idx="1">
                  <c:v>ref_1</c:v>
                </c:pt>
                <c:pt idx="2">
                  <c:v>ref_2</c:v>
                </c:pt>
                <c:pt idx="3">
                  <c:v>ref_3</c:v>
                </c:pt>
                <c:pt idx="4">
                  <c:v>ref_4</c:v>
                </c:pt>
                <c:pt idx="5">
                  <c:v>ref_5</c:v>
                </c:pt>
                <c:pt idx="6">
                  <c:v>ref_6</c:v>
                </c:pt>
              </c:strCache>
            </c:strRef>
          </c:cat>
          <c:val>
            <c:numRef>
              <c:f>'groove changes m3'!$G$3:$G$9</c:f>
              <c:numCache>
                <c:formatCode>General</c:formatCode>
                <c:ptCount val="7"/>
                <c:pt idx="0">
                  <c:v>19.380499999999998</c:v>
                </c:pt>
                <c:pt idx="1">
                  <c:v>18.697000000000003</c:v>
                </c:pt>
                <c:pt idx="2">
                  <c:v>19.463000000000001</c:v>
                </c:pt>
                <c:pt idx="3">
                  <c:v>19.57</c:v>
                </c:pt>
                <c:pt idx="4">
                  <c:v>17.678333333333335</c:v>
                </c:pt>
                <c:pt idx="5">
                  <c:v>19.015000000000001</c:v>
                </c:pt>
                <c:pt idx="6">
                  <c:v>19.687000000000005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1-4019-8C61-DDBFC6674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537727"/>
        <c:axId val="518540607"/>
      </c:barChart>
      <c:catAx>
        <c:axId val="51853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40607"/>
        <c:crosses val="autoZero"/>
        <c:auto val="1"/>
        <c:lblAlgn val="ctr"/>
        <c:lblOffset val="100"/>
        <c:noMultiLvlLbl val="0"/>
      </c:catAx>
      <c:valAx>
        <c:axId val="51854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3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[RMSD Data Analysis.xlsx]wich lowest general!PivotTable8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'wich lowest general'!$B$3</c:f>
              <c:strCache>
                <c:ptCount val="1"/>
                <c:pt idx="0">
                  <c:v>Average of RMSD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'wich lowest general'!$A$4:$A$10</c:f>
              <c:strCache>
                <c:ptCount val="6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</c:strCache>
            </c:strRef>
          </c:cat>
          <c:val>
            <c:numRef>
              <c:f>'wich lowest general'!$B$4:$B$10</c:f>
              <c:numCache>
                <c:formatCode>General</c:formatCode>
                <c:ptCount val="6"/>
                <c:pt idx="0">
                  <c:v>3.5200000000000002E-2</c:v>
                </c:pt>
                <c:pt idx="1">
                  <c:v>6.0100000000000001E-2</c:v>
                </c:pt>
                <c:pt idx="2">
                  <c:v>6.7199999999999996E-2</c:v>
                </c:pt>
                <c:pt idx="3">
                  <c:v>7.4999999999999997E-2</c:v>
                </c:pt>
                <c:pt idx="4">
                  <c:v>8.3083333333333328E-2</c:v>
                </c:pt>
                <c:pt idx="5">
                  <c:v>0.1042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C-435F-BD0F-D2EBA5775ED8}"/>
            </c:ext>
          </c:extLst>
        </c:ser>
        <c:ser>
          <c:idx val="1"/>
          <c:order val="1"/>
          <c:tx>
            <c:strRef>
              <c:f>'wich lowest general'!$C$3</c:f>
              <c:strCache>
                <c:ptCount val="1"/>
                <c:pt idx="0">
                  <c:v>StdDev of RMSD2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'wich lowest general'!$A$4:$A$10</c:f>
              <c:strCache>
                <c:ptCount val="6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</c:strCache>
            </c:strRef>
          </c:cat>
          <c:val>
            <c:numRef>
              <c:f>'wich lowest general'!$C$4:$C$10</c:f>
              <c:numCache>
                <c:formatCode>General</c:formatCode>
                <c:ptCount val="6"/>
                <c:pt idx="0">
                  <c:v>1.5569200364822853E-2</c:v>
                </c:pt>
                <c:pt idx="1">
                  <c:v>1.1005049346143215E-3</c:v>
                </c:pt>
                <c:pt idx="2">
                  <c:v>1.5852094148373266E-2</c:v>
                </c:pt>
                <c:pt idx="3">
                  <c:v>#N/A</c:v>
                </c:pt>
                <c:pt idx="4">
                  <c:v>1.4500522456627255E-2</c:v>
                </c:pt>
                <c:pt idx="5">
                  <c:v>1.2272824541327906E-2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BC-435F-BD0F-D2EBA5775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605439"/>
        <c:axId val="654605919"/>
      </c:barChart>
      <c:catAx>
        <c:axId val="65460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05919"/>
        <c:crosses val="autoZero"/>
        <c:auto val="1"/>
        <c:lblAlgn val="ctr"/>
        <c:lblOffset val="100"/>
        <c:noMultiLvlLbl val="0"/>
      </c:catAx>
      <c:valAx>
        <c:axId val="65460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0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Reference Comparison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Reference Comparison</a:t>
          </a:r>
        </a:p>
      </cx:txPr>
    </cx:title>
    <cx:plotArea>
      <cx:plotAreaRegion>
        <cx:series layoutId="boxWhisker" uniqueId="{00000004-2145-4B70-BDDE-1ECA1FD2D252}" formatIdx="1">
          <cx:tx>
            <cx:txData>
              <cx:v>rmsd by reference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Reference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Reference</a:t>
              </a:r>
            </a:p>
          </cx:txPr>
        </cx:title>
        <cx:tickLabels/>
      </cx:axis>
      <cx:axis id="1">
        <cx:valScaling/>
        <cx:title>
          <cx:tx>
            <cx:txData>
              <cx:v>RMSD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RMSD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411480</xdr:colOff>
      <xdr:row>3</xdr:row>
      <xdr:rowOff>137160</xdr:rowOff>
    </xdr:from>
    <xdr:to>
      <xdr:col>16</xdr:col>
      <xdr:colOff>106680</xdr:colOff>
      <xdr:row>18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A013B3-18FE-40E5-A4DE-703B9878A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5</xdr:row>
      <xdr:rowOff>7620</xdr:rowOff>
    </xdr:from>
    <xdr:to>
      <xdr:col>13</xdr:col>
      <xdr:colOff>472440</xdr:colOff>
      <xdr:row>20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711E9BF-2AAA-3EF3-EEE7-09DD64A0CA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4820" y="9220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4</xdr:row>
      <xdr:rowOff>7620</xdr:rowOff>
    </xdr:from>
    <xdr:to>
      <xdr:col>10</xdr:col>
      <xdr:colOff>403860</xdr:colOff>
      <xdr:row>19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B69D8A-97E3-BCEC-14EA-7D9D9BD71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281940</xdr:colOff>
      <xdr:row>2</xdr:row>
      <xdr:rowOff>175260</xdr:rowOff>
    </xdr:from>
    <xdr:to>
      <xdr:col>15</xdr:col>
      <xdr:colOff>586740</xdr:colOff>
      <xdr:row>17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78B095-3CA4-61D5-189F-E56EECA8D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144780</xdr:colOff>
      <xdr:row>57</xdr:row>
      <xdr:rowOff>68580</xdr:rowOff>
    </xdr:from>
    <xdr:to>
      <xdr:col>13</xdr:col>
      <xdr:colOff>449580</xdr:colOff>
      <xdr:row>72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D56360-E0BE-CD93-E3F5-D0634997A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1524000</xdr:colOff>
      <xdr:row>11</xdr:row>
      <xdr:rowOff>171450</xdr:rowOff>
    </xdr:from>
    <xdr:to>
      <xdr:col>6</xdr:col>
      <xdr:colOff>274320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8EFF13-55F6-11CA-9568-B51CC8069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1165860</xdr:colOff>
      <xdr:row>11</xdr:row>
      <xdr:rowOff>106680</xdr:rowOff>
    </xdr:from>
    <xdr:to>
      <xdr:col>9</xdr:col>
      <xdr:colOff>220980</xdr:colOff>
      <xdr:row>26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A98798-3795-7856-BF46-FCC600E9E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3</xdr:row>
      <xdr:rowOff>152400</xdr:rowOff>
    </xdr:from>
    <xdr:to>
      <xdr:col>11</xdr:col>
      <xdr:colOff>320040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F3ED06-92BB-5FEC-8EA9-F497877E8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metc" refreshedDate="45941.689770833334" createdVersion="8" refreshedVersion="8" minRefreshableVersion="3" recordCount="1060" xr:uid="{7BAC4F94-EEB4-4BF3-AF34-278480DEA3BE}">
  <cacheSource type="worksheet">
    <worksheetSource name="Table1"/>
  </cacheSource>
  <cacheFields count="4">
    <cacheField name="Reference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State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onformer" numFmtId="0">
      <sharedItems count="20">
        <s v="conf_1"/>
        <s v="conf_2"/>
        <s v="conf_3"/>
        <s v="conf_4"/>
        <s v="conf_5"/>
        <s v="conf_6"/>
        <s v="conf_7"/>
        <s v="conf_8"/>
        <s v="conf_9"/>
        <s v="conf_10"/>
        <s v="conf_11"/>
        <s v="conf_12"/>
        <s v="conf_13"/>
        <s v="conf_14"/>
        <s v="conf_15"/>
        <s v="conf_16"/>
        <s v="conf_17"/>
        <s v="conf_18"/>
        <s v="conf_19"/>
        <s v="conf_20"/>
      </sharedItems>
    </cacheField>
    <cacheField name="RMSD (A)" numFmtId="0">
      <sharedItems containsSemiMixedTypes="0" containsString="0" containsNumber="1" minValue="2.1999999999999999E-2" maxValue="0.7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metc" refreshedDate="45941.829124999997" createdVersion="8" refreshedVersion="8" minRefreshableVersion="3" recordCount="53" xr:uid="{9B6B574C-EB7D-47DA-A2A8-D356F91AF6A2}">
  <cacheSource type="worksheet">
    <worksheetSource ref="A1:D54" sheet="general best match"/>
  </cacheSource>
  <cacheFields count="4">
    <cacheField name="Reference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State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onformer" numFmtId="0">
      <sharedItems count="4">
        <s v="onf_20"/>
        <s v="onf_12"/>
        <s v="onf_14"/>
        <s v="onf_7"/>
      </sharedItems>
    </cacheField>
    <cacheField name="RMSD" numFmtId="0">
      <sharedItems containsSemiMixedTypes="0" containsString="0" containsNumber="1" minValue="2.1999999999999999E-2" maxValue="0.116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metc" refreshedDate="45941.838318287038" createdVersion="8" refreshedVersion="8" minRefreshableVersion="3" recordCount="53" xr:uid="{8BE8878A-3A89-46D5-95C9-3C9C6FFF0CFB}">
  <cacheSource type="worksheet">
    <worksheetSource ref="A1:E54" sheet="general best match"/>
  </cacheSource>
  <cacheFields count="5">
    <cacheField name="Reference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State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onformer" numFmtId="0">
      <sharedItems/>
    </cacheField>
    <cacheField name="RMSD" numFmtId="0">
      <sharedItems containsSemiMixedTypes="0" containsString="0" containsNumber="1" minValue="2.1999999999999999E-2" maxValue="0.11600000000000001"/>
    </cacheField>
    <cacheField name="confid" numFmtId="0">
      <sharedItems containsSemiMixedTypes="0" containsString="0" containsNumber="1" containsInteger="1" minValue="7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metc" refreshedDate="45944.411046527777" createdVersion="8" refreshedVersion="8" minRefreshableVersion="3" recordCount="73" xr:uid="{3956C046-960C-4A00-A335-DB813BED55DC}">
  <cacheSource type="worksheet">
    <worksheetSource ref="A1:C74" sheet="bulge and loop m1"/>
  </cacheSource>
  <cacheFields count="3">
    <cacheField name="ref" numFmtId="0">
      <sharedItems count="7">
        <s v="ref_1"/>
        <s v="ref_2"/>
        <s v="ref_3"/>
        <s v="ref_4"/>
        <s v="ref_5"/>
        <s v="ref_6"/>
        <s v="ref_0"/>
      </sharedItems>
    </cacheField>
    <cacheField name="state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M1_bulgeLoop_RMSD(A)" numFmtId="0">
      <sharedItems containsMixedTypes="1" containsNumber="1" minValue="3.7999999999999999E-2" maxValue="0.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metc" refreshedDate="45944.431769328701" createdVersion="8" refreshedVersion="8" minRefreshableVersion="3" recordCount="73" xr:uid="{0FD33C94-9817-48EA-8253-D8B136C0045E}">
  <cacheSource type="worksheet">
    <worksheetSource ref="A1:C74" sheet="Sheet20"/>
  </cacheSource>
  <cacheFields count="3">
    <cacheField name="ref" numFmtId="0">
      <sharedItems count="7">
        <s v="ref_1"/>
        <s v="ref_2"/>
        <s v="ref_3"/>
        <s v="ref_4"/>
        <s v="ref_5"/>
        <s v="ref_6"/>
        <s v="ref_0"/>
      </sharedItems>
    </cacheField>
    <cacheField name="state" numFmtId="0">
      <sharedItems containsSemiMixedTypes="0" containsString="0" containsNumber="1" containsInteger="1" minValue="1" maxValue="20"/>
    </cacheField>
    <cacheField name="M3_majorGroove(A)" numFmtId="0">
      <sharedItems containsSemiMixedTypes="0" containsString="0" containsNumber="1" minValue="16.23" maxValue="20.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metc" refreshedDate="45944.440592708335" createdVersion="8" refreshedVersion="8" minRefreshableVersion="3" recordCount="73" xr:uid="{8D8A4D9A-E100-41A6-AFE0-E62946B364B0}">
  <cacheSource type="worksheet">
    <worksheetSource ref="A1:C74" sheet="m4 22"/>
  </cacheSource>
  <cacheFields count="3">
    <cacheField name="ref" numFmtId="0">
      <sharedItems count="7">
        <s v="ref_1"/>
        <s v="ref_2"/>
        <s v="ref_3"/>
        <s v="ref_4"/>
        <s v="ref_5"/>
        <s v="ref_6"/>
        <s v="ref_0"/>
      </sharedItems>
    </cacheField>
    <cacheField name="state" numFmtId="0">
      <sharedItems containsSemiMixedTypes="0" containsString="0" containsNumber="1" containsInteger="1" minValue="1" maxValue="20"/>
    </cacheField>
    <cacheField name="M4_chi22" numFmtId="0">
      <sharedItems containsSemiMixedTypes="0" containsString="0" containsNumber="1" minValue="-179.2" maxValue="1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0">
  <r>
    <x v="0"/>
    <x v="0"/>
    <x v="0"/>
    <n v="0.68700000000000006"/>
  </r>
  <r>
    <x v="0"/>
    <x v="0"/>
    <x v="1"/>
    <n v="0.61899999999999999"/>
  </r>
  <r>
    <x v="0"/>
    <x v="0"/>
    <x v="2"/>
    <n v="0.628"/>
  </r>
  <r>
    <x v="0"/>
    <x v="0"/>
    <x v="3"/>
    <n v="0.61399999999999999"/>
  </r>
  <r>
    <x v="0"/>
    <x v="0"/>
    <x v="4"/>
    <n v="0.64400000000000002"/>
  </r>
  <r>
    <x v="0"/>
    <x v="0"/>
    <x v="5"/>
    <n v="0.60699999999999998"/>
  </r>
  <r>
    <x v="0"/>
    <x v="0"/>
    <x v="6"/>
    <n v="0.20699999999999999"/>
  </r>
  <r>
    <x v="0"/>
    <x v="0"/>
    <x v="7"/>
    <n v="0.68799999999999994"/>
  </r>
  <r>
    <x v="0"/>
    <x v="0"/>
    <x v="8"/>
    <n v="0.621"/>
  </r>
  <r>
    <x v="0"/>
    <x v="0"/>
    <x v="9"/>
    <n v="0.68899999999999995"/>
  </r>
  <r>
    <x v="0"/>
    <x v="0"/>
    <x v="10"/>
    <n v="0.66800000000000004"/>
  </r>
  <r>
    <x v="0"/>
    <x v="0"/>
    <x v="11"/>
    <n v="0.111"/>
  </r>
  <r>
    <x v="0"/>
    <x v="0"/>
    <x v="12"/>
    <n v="0.70399999999999996"/>
  </r>
  <r>
    <x v="0"/>
    <x v="0"/>
    <x v="13"/>
    <n v="0.11700000000000001"/>
  </r>
  <r>
    <x v="0"/>
    <x v="0"/>
    <x v="14"/>
    <n v="0.214"/>
  </r>
  <r>
    <x v="0"/>
    <x v="0"/>
    <x v="15"/>
    <n v="0.14699999999999999"/>
  </r>
  <r>
    <x v="0"/>
    <x v="0"/>
    <x v="16"/>
    <n v="0.65200000000000002"/>
  </r>
  <r>
    <x v="0"/>
    <x v="0"/>
    <x v="17"/>
    <n v="0.67900000000000005"/>
  </r>
  <r>
    <x v="0"/>
    <x v="0"/>
    <x v="18"/>
    <n v="0.16300000000000001"/>
  </r>
  <r>
    <x v="0"/>
    <x v="0"/>
    <x v="19"/>
    <n v="9.1999999999999998E-2"/>
  </r>
  <r>
    <x v="0"/>
    <x v="1"/>
    <x v="0"/>
    <n v="0.69099999999999995"/>
  </r>
  <r>
    <x v="0"/>
    <x v="1"/>
    <x v="1"/>
    <n v="0.621"/>
  </r>
  <r>
    <x v="0"/>
    <x v="1"/>
    <x v="2"/>
    <n v="0.63100000000000001"/>
  </r>
  <r>
    <x v="0"/>
    <x v="1"/>
    <x v="3"/>
    <n v="0.61599999999999999"/>
  </r>
  <r>
    <x v="0"/>
    <x v="1"/>
    <x v="4"/>
    <n v="0.64600000000000002"/>
  </r>
  <r>
    <x v="0"/>
    <x v="1"/>
    <x v="5"/>
    <n v="0.61"/>
  </r>
  <r>
    <x v="0"/>
    <x v="1"/>
    <x v="6"/>
    <n v="0.20499999999999999"/>
  </r>
  <r>
    <x v="0"/>
    <x v="1"/>
    <x v="7"/>
    <n v="0.69"/>
  </r>
  <r>
    <x v="0"/>
    <x v="1"/>
    <x v="8"/>
    <n v="0.625"/>
  </r>
  <r>
    <x v="0"/>
    <x v="1"/>
    <x v="9"/>
    <n v="0.69199999999999995"/>
  </r>
  <r>
    <x v="0"/>
    <x v="1"/>
    <x v="10"/>
    <n v="0.67200000000000004"/>
  </r>
  <r>
    <x v="0"/>
    <x v="1"/>
    <x v="11"/>
    <n v="9.2999999999999999E-2"/>
  </r>
  <r>
    <x v="0"/>
    <x v="1"/>
    <x v="12"/>
    <n v="0.70599999999999996"/>
  </r>
  <r>
    <x v="0"/>
    <x v="1"/>
    <x v="13"/>
    <n v="0.114"/>
  </r>
  <r>
    <x v="0"/>
    <x v="1"/>
    <x v="14"/>
    <n v="0.221"/>
  </r>
  <r>
    <x v="0"/>
    <x v="1"/>
    <x v="15"/>
    <n v="0.13"/>
  </r>
  <r>
    <x v="0"/>
    <x v="1"/>
    <x v="16"/>
    <n v="0.65600000000000003"/>
  </r>
  <r>
    <x v="0"/>
    <x v="1"/>
    <x v="17"/>
    <n v="0.68200000000000005"/>
  </r>
  <r>
    <x v="0"/>
    <x v="1"/>
    <x v="18"/>
    <n v="0.14000000000000001"/>
  </r>
  <r>
    <x v="0"/>
    <x v="1"/>
    <x v="19"/>
    <n v="9.4E-2"/>
  </r>
  <r>
    <x v="0"/>
    <x v="2"/>
    <x v="0"/>
    <n v="0.69"/>
  </r>
  <r>
    <x v="0"/>
    <x v="2"/>
    <x v="1"/>
    <n v="0.62"/>
  </r>
  <r>
    <x v="0"/>
    <x v="2"/>
    <x v="2"/>
    <n v="0.63"/>
  </r>
  <r>
    <x v="0"/>
    <x v="2"/>
    <x v="3"/>
    <n v="0.61599999999999999"/>
  </r>
  <r>
    <x v="0"/>
    <x v="2"/>
    <x v="4"/>
    <n v="0.64600000000000002"/>
  </r>
  <r>
    <x v="0"/>
    <x v="2"/>
    <x v="5"/>
    <n v="0.60899999999999999"/>
  </r>
  <r>
    <x v="0"/>
    <x v="2"/>
    <x v="6"/>
    <n v="0.21299999999999999"/>
  </r>
  <r>
    <x v="0"/>
    <x v="2"/>
    <x v="7"/>
    <n v="0.69099999999999995"/>
  </r>
  <r>
    <x v="0"/>
    <x v="2"/>
    <x v="8"/>
    <n v="0.624"/>
  </r>
  <r>
    <x v="0"/>
    <x v="2"/>
    <x v="9"/>
    <n v="0.69199999999999995"/>
  </r>
  <r>
    <x v="0"/>
    <x v="2"/>
    <x v="10"/>
    <n v="0.67100000000000004"/>
  </r>
  <r>
    <x v="0"/>
    <x v="2"/>
    <x v="11"/>
    <n v="0.113"/>
  </r>
  <r>
    <x v="0"/>
    <x v="2"/>
    <x v="12"/>
    <n v="0.70699999999999996"/>
  </r>
  <r>
    <x v="0"/>
    <x v="2"/>
    <x v="13"/>
    <n v="0.127"/>
  </r>
  <r>
    <x v="0"/>
    <x v="2"/>
    <x v="14"/>
    <n v="0.22900000000000001"/>
  </r>
  <r>
    <x v="0"/>
    <x v="2"/>
    <x v="15"/>
    <n v="0.14499999999999999"/>
  </r>
  <r>
    <x v="0"/>
    <x v="2"/>
    <x v="16"/>
    <n v="0.65600000000000003"/>
  </r>
  <r>
    <x v="0"/>
    <x v="2"/>
    <x v="17"/>
    <n v="0.68200000000000005"/>
  </r>
  <r>
    <x v="0"/>
    <x v="2"/>
    <x v="18"/>
    <n v="0.152"/>
  </r>
  <r>
    <x v="0"/>
    <x v="2"/>
    <x v="19"/>
    <n v="0.108"/>
  </r>
  <r>
    <x v="0"/>
    <x v="3"/>
    <x v="0"/>
    <n v="0.68400000000000005"/>
  </r>
  <r>
    <x v="0"/>
    <x v="3"/>
    <x v="1"/>
    <n v="0.61799999999999999"/>
  </r>
  <r>
    <x v="0"/>
    <x v="3"/>
    <x v="2"/>
    <n v="0.627"/>
  </r>
  <r>
    <x v="0"/>
    <x v="3"/>
    <x v="3"/>
    <n v="0.61399999999999999"/>
  </r>
  <r>
    <x v="0"/>
    <x v="3"/>
    <x v="4"/>
    <n v="0.64200000000000002"/>
  </r>
  <r>
    <x v="0"/>
    <x v="3"/>
    <x v="5"/>
    <n v="0.60799999999999998"/>
  </r>
  <r>
    <x v="0"/>
    <x v="3"/>
    <x v="6"/>
    <n v="0.20599999999999999"/>
  </r>
  <r>
    <x v="0"/>
    <x v="3"/>
    <x v="7"/>
    <n v="0.68500000000000005"/>
  </r>
  <r>
    <x v="0"/>
    <x v="3"/>
    <x v="8"/>
    <n v="0.62"/>
  </r>
  <r>
    <x v="0"/>
    <x v="3"/>
    <x v="9"/>
    <n v="0.68600000000000005"/>
  </r>
  <r>
    <x v="0"/>
    <x v="3"/>
    <x v="10"/>
    <n v="0.66500000000000004"/>
  </r>
  <r>
    <x v="0"/>
    <x v="3"/>
    <x v="11"/>
    <n v="0.125"/>
  </r>
  <r>
    <x v="0"/>
    <x v="3"/>
    <x v="12"/>
    <n v="0.70199999999999996"/>
  </r>
  <r>
    <x v="0"/>
    <x v="3"/>
    <x v="13"/>
    <n v="0.125"/>
  </r>
  <r>
    <x v="0"/>
    <x v="3"/>
    <x v="14"/>
    <n v="0.219"/>
  </r>
  <r>
    <x v="0"/>
    <x v="3"/>
    <x v="15"/>
    <n v="0.16300000000000001"/>
  </r>
  <r>
    <x v="0"/>
    <x v="3"/>
    <x v="16"/>
    <n v="0.65"/>
  </r>
  <r>
    <x v="0"/>
    <x v="3"/>
    <x v="17"/>
    <n v="0.67700000000000005"/>
  </r>
  <r>
    <x v="0"/>
    <x v="3"/>
    <x v="18"/>
    <n v="0.17399999999999999"/>
  </r>
  <r>
    <x v="0"/>
    <x v="3"/>
    <x v="19"/>
    <n v="0.113"/>
  </r>
  <r>
    <x v="0"/>
    <x v="4"/>
    <x v="0"/>
    <n v="0.68"/>
  </r>
  <r>
    <x v="0"/>
    <x v="4"/>
    <x v="1"/>
    <n v="0.61499999999999999"/>
  </r>
  <r>
    <x v="0"/>
    <x v="4"/>
    <x v="2"/>
    <n v="0.624"/>
  </r>
  <r>
    <x v="0"/>
    <x v="4"/>
    <x v="3"/>
    <n v="0.61099999999999999"/>
  </r>
  <r>
    <x v="0"/>
    <x v="4"/>
    <x v="4"/>
    <n v="0.63800000000000001"/>
  </r>
  <r>
    <x v="0"/>
    <x v="4"/>
    <x v="5"/>
    <n v="0.60599999999999998"/>
  </r>
  <r>
    <x v="0"/>
    <x v="4"/>
    <x v="6"/>
    <n v="0.19600000000000001"/>
  </r>
  <r>
    <x v="0"/>
    <x v="4"/>
    <x v="7"/>
    <n v="0.68100000000000005"/>
  </r>
  <r>
    <x v="0"/>
    <x v="4"/>
    <x v="8"/>
    <n v="0.61699999999999999"/>
  </r>
  <r>
    <x v="0"/>
    <x v="4"/>
    <x v="9"/>
    <n v="0.68100000000000005"/>
  </r>
  <r>
    <x v="0"/>
    <x v="4"/>
    <x v="10"/>
    <n v="0.66100000000000003"/>
  </r>
  <r>
    <x v="0"/>
    <x v="4"/>
    <x v="11"/>
    <n v="0.12"/>
  </r>
  <r>
    <x v="0"/>
    <x v="4"/>
    <x v="12"/>
    <n v="0.69699999999999995"/>
  </r>
  <r>
    <x v="0"/>
    <x v="4"/>
    <x v="13"/>
    <n v="0.11700000000000001"/>
  </r>
  <r>
    <x v="0"/>
    <x v="4"/>
    <x v="14"/>
    <n v="0.21099999999999999"/>
  </r>
  <r>
    <x v="0"/>
    <x v="4"/>
    <x v="15"/>
    <n v="0.16500000000000001"/>
  </r>
  <r>
    <x v="0"/>
    <x v="4"/>
    <x v="16"/>
    <n v="0.64700000000000002"/>
  </r>
  <r>
    <x v="0"/>
    <x v="4"/>
    <x v="17"/>
    <n v="0.67200000000000004"/>
  </r>
  <r>
    <x v="0"/>
    <x v="4"/>
    <x v="18"/>
    <n v="0.17499999999999999"/>
  </r>
  <r>
    <x v="0"/>
    <x v="4"/>
    <x v="19"/>
    <n v="0.11600000000000001"/>
  </r>
  <r>
    <x v="0"/>
    <x v="5"/>
    <x v="0"/>
    <n v="0.67900000000000005"/>
  </r>
  <r>
    <x v="0"/>
    <x v="5"/>
    <x v="1"/>
    <n v="0.61399999999999999"/>
  </r>
  <r>
    <x v="0"/>
    <x v="5"/>
    <x v="2"/>
    <n v="0.623"/>
  </r>
  <r>
    <x v="0"/>
    <x v="5"/>
    <x v="3"/>
    <n v="0.61"/>
  </r>
  <r>
    <x v="0"/>
    <x v="5"/>
    <x v="4"/>
    <n v="0.63700000000000001"/>
  </r>
  <r>
    <x v="0"/>
    <x v="5"/>
    <x v="5"/>
    <n v="0.60499999999999998"/>
  </r>
  <r>
    <x v="0"/>
    <x v="5"/>
    <x v="6"/>
    <n v="0.191"/>
  </r>
  <r>
    <x v="0"/>
    <x v="5"/>
    <x v="7"/>
    <n v="0.67900000000000005"/>
  </r>
  <r>
    <x v="0"/>
    <x v="5"/>
    <x v="8"/>
    <n v="0.61599999999999999"/>
  </r>
  <r>
    <x v="0"/>
    <x v="5"/>
    <x v="9"/>
    <n v="0.68"/>
  </r>
  <r>
    <x v="0"/>
    <x v="5"/>
    <x v="10"/>
    <n v="0.66"/>
  </r>
  <r>
    <x v="0"/>
    <x v="5"/>
    <x v="11"/>
    <n v="0.114"/>
  </r>
  <r>
    <x v="0"/>
    <x v="5"/>
    <x v="12"/>
    <n v="0.69599999999999995"/>
  </r>
  <r>
    <x v="0"/>
    <x v="5"/>
    <x v="13"/>
    <n v="0.11"/>
  </r>
  <r>
    <x v="0"/>
    <x v="5"/>
    <x v="14"/>
    <n v="0.20499999999999999"/>
  </r>
  <r>
    <x v="0"/>
    <x v="5"/>
    <x v="15"/>
    <n v="0.161"/>
  </r>
  <r>
    <x v="0"/>
    <x v="5"/>
    <x v="16"/>
    <n v="0.64500000000000002"/>
  </r>
  <r>
    <x v="0"/>
    <x v="5"/>
    <x v="17"/>
    <n v="0.67100000000000004"/>
  </r>
  <r>
    <x v="0"/>
    <x v="5"/>
    <x v="18"/>
    <n v="0.17399999999999999"/>
  </r>
  <r>
    <x v="0"/>
    <x v="5"/>
    <x v="19"/>
    <n v="0.11"/>
  </r>
  <r>
    <x v="0"/>
    <x v="6"/>
    <x v="0"/>
    <n v="0.69199999999999995"/>
  </r>
  <r>
    <x v="0"/>
    <x v="6"/>
    <x v="1"/>
    <n v="0.623"/>
  </r>
  <r>
    <x v="0"/>
    <x v="6"/>
    <x v="2"/>
    <n v="0.63200000000000001"/>
  </r>
  <r>
    <x v="0"/>
    <x v="6"/>
    <x v="3"/>
    <n v="0.61899999999999999"/>
  </r>
  <r>
    <x v="0"/>
    <x v="6"/>
    <x v="4"/>
    <n v="0.64900000000000002"/>
  </r>
  <r>
    <x v="0"/>
    <x v="6"/>
    <x v="5"/>
    <n v="0.61"/>
  </r>
  <r>
    <x v="0"/>
    <x v="6"/>
    <x v="6"/>
    <n v="0.22500000000000001"/>
  </r>
  <r>
    <x v="0"/>
    <x v="6"/>
    <x v="7"/>
    <n v="0.69399999999999995"/>
  </r>
  <r>
    <x v="0"/>
    <x v="6"/>
    <x v="8"/>
    <n v="0.623"/>
  </r>
  <r>
    <x v="0"/>
    <x v="6"/>
    <x v="9"/>
    <n v="0.69399999999999995"/>
  </r>
  <r>
    <x v="0"/>
    <x v="6"/>
    <x v="10"/>
    <n v="0.67200000000000004"/>
  </r>
  <r>
    <x v="0"/>
    <x v="6"/>
    <x v="11"/>
    <n v="0.14099999999999999"/>
  </r>
  <r>
    <x v="0"/>
    <x v="6"/>
    <x v="12"/>
    <n v="0.71"/>
  </r>
  <r>
    <x v="0"/>
    <x v="6"/>
    <x v="13"/>
    <n v="0.14199999999999999"/>
  </r>
  <r>
    <x v="0"/>
    <x v="6"/>
    <x v="14"/>
    <n v="0.23200000000000001"/>
  </r>
  <r>
    <x v="0"/>
    <x v="6"/>
    <x v="15"/>
    <n v="0.16700000000000001"/>
  </r>
  <r>
    <x v="0"/>
    <x v="6"/>
    <x v="16"/>
    <n v="0.65700000000000003"/>
  </r>
  <r>
    <x v="0"/>
    <x v="6"/>
    <x v="17"/>
    <n v="0.68500000000000005"/>
  </r>
  <r>
    <x v="0"/>
    <x v="6"/>
    <x v="18"/>
    <n v="0.18"/>
  </r>
  <r>
    <x v="0"/>
    <x v="6"/>
    <x v="19"/>
    <n v="0.112"/>
  </r>
  <r>
    <x v="0"/>
    <x v="7"/>
    <x v="0"/>
    <n v="0.70699999999999996"/>
  </r>
  <r>
    <x v="0"/>
    <x v="7"/>
    <x v="1"/>
    <n v="0.629"/>
  </r>
  <r>
    <x v="0"/>
    <x v="7"/>
    <x v="2"/>
    <n v="0.64200000000000002"/>
  </r>
  <r>
    <x v="0"/>
    <x v="7"/>
    <x v="3"/>
    <n v="0.624"/>
  </r>
  <r>
    <x v="0"/>
    <x v="7"/>
    <x v="4"/>
    <n v="0.65700000000000003"/>
  </r>
  <r>
    <x v="0"/>
    <x v="7"/>
    <x v="5"/>
    <n v="0.61899999999999999"/>
  </r>
  <r>
    <x v="0"/>
    <x v="7"/>
    <x v="6"/>
    <n v="0.222"/>
  </r>
  <r>
    <x v="0"/>
    <x v="7"/>
    <x v="7"/>
    <n v="0.70399999999999996"/>
  </r>
  <r>
    <x v="0"/>
    <x v="7"/>
    <x v="8"/>
    <n v="0.63800000000000001"/>
  </r>
  <r>
    <x v="0"/>
    <x v="7"/>
    <x v="9"/>
    <n v="0.70799999999999996"/>
  </r>
  <r>
    <x v="0"/>
    <x v="7"/>
    <x v="10"/>
    <n v="0.68799999999999994"/>
  </r>
  <r>
    <x v="0"/>
    <x v="7"/>
    <x v="11"/>
    <n v="7.8E-2"/>
  </r>
  <r>
    <x v="0"/>
    <x v="7"/>
    <x v="12"/>
    <n v="0.72"/>
  </r>
  <r>
    <x v="0"/>
    <x v="7"/>
    <x v="13"/>
    <n v="0.128"/>
  </r>
  <r>
    <x v="0"/>
    <x v="7"/>
    <x v="14"/>
    <n v="0.24099999999999999"/>
  </r>
  <r>
    <x v="0"/>
    <x v="7"/>
    <x v="15"/>
    <n v="0.1"/>
  </r>
  <r>
    <x v="0"/>
    <x v="7"/>
    <x v="16"/>
    <n v="0.67"/>
  </r>
  <r>
    <x v="0"/>
    <x v="7"/>
    <x v="17"/>
    <n v="0.69699999999999995"/>
  </r>
  <r>
    <x v="0"/>
    <x v="7"/>
    <x v="18"/>
    <n v="0.10199999999999999"/>
  </r>
  <r>
    <x v="0"/>
    <x v="7"/>
    <x v="19"/>
    <n v="9.7000000000000003E-2"/>
  </r>
  <r>
    <x v="0"/>
    <x v="8"/>
    <x v="0"/>
    <n v="0.68700000000000006"/>
  </r>
  <r>
    <x v="0"/>
    <x v="8"/>
    <x v="1"/>
    <n v="0.61899999999999999"/>
  </r>
  <r>
    <x v="0"/>
    <x v="8"/>
    <x v="2"/>
    <n v="0.628"/>
  </r>
  <r>
    <x v="0"/>
    <x v="8"/>
    <x v="3"/>
    <n v="0.61499999999999999"/>
  </r>
  <r>
    <x v="0"/>
    <x v="8"/>
    <x v="4"/>
    <n v="0.64400000000000002"/>
  </r>
  <r>
    <x v="0"/>
    <x v="8"/>
    <x v="5"/>
    <n v="0.60799999999999998"/>
  </r>
  <r>
    <x v="0"/>
    <x v="8"/>
    <x v="6"/>
    <n v="0.21099999999999999"/>
  </r>
  <r>
    <x v="0"/>
    <x v="8"/>
    <x v="7"/>
    <n v="0.68799999999999994"/>
  </r>
  <r>
    <x v="0"/>
    <x v="8"/>
    <x v="8"/>
    <n v="0.621"/>
  </r>
  <r>
    <x v="0"/>
    <x v="8"/>
    <x v="9"/>
    <n v="0.68899999999999995"/>
  </r>
  <r>
    <x v="0"/>
    <x v="8"/>
    <x v="10"/>
    <n v="0.66800000000000004"/>
  </r>
  <r>
    <x v="0"/>
    <x v="8"/>
    <x v="11"/>
    <n v="0.123"/>
  </r>
  <r>
    <x v="0"/>
    <x v="8"/>
    <x v="12"/>
    <n v="0.70399999999999996"/>
  </r>
  <r>
    <x v="0"/>
    <x v="8"/>
    <x v="13"/>
    <n v="0.128"/>
  </r>
  <r>
    <x v="0"/>
    <x v="8"/>
    <x v="14"/>
    <n v="0.224"/>
  </r>
  <r>
    <x v="0"/>
    <x v="8"/>
    <x v="15"/>
    <n v="0.158"/>
  </r>
  <r>
    <x v="0"/>
    <x v="8"/>
    <x v="16"/>
    <n v="0.65300000000000002"/>
  </r>
  <r>
    <x v="0"/>
    <x v="8"/>
    <x v="17"/>
    <n v="0.67900000000000005"/>
  </r>
  <r>
    <x v="0"/>
    <x v="8"/>
    <x v="18"/>
    <n v="0.16800000000000001"/>
  </r>
  <r>
    <x v="0"/>
    <x v="8"/>
    <x v="19"/>
    <n v="0.111"/>
  </r>
  <r>
    <x v="0"/>
    <x v="9"/>
    <x v="0"/>
    <n v="0.68600000000000005"/>
  </r>
  <r>
    <x v="0"/>
    <x v="9"/>
    <x v="1"/>
    <n v="0.61799999999999999"/>
  </r>
  <r>
    <x v="0"/>
    <x v="9"/>
    <x v="2"/>
    <n v="0.627"/>
  </r>
  <r>
    <x v="0"/>
    <x v="9"/>
    <x v="3"/>
    <n v="0.61299999999999999"/>
  </r>
  <r>
    <x v="0"/>
    <x v="9"/>
    <x v="4"/>
    <n v="0.64200000000000002"/>
  </r>
  <r>
    <x v="0"/>
    <x v="9"/>
    <x v="5"/>
    <n v="0.60899999999999999"/>
  </r>
  <r>
    <x v="0"/>
    <x v="9"/>
    <x v="6"/>
    <n v="0.19800000000000001"/>
  </r>
  <r>
    <x v="0"/>
    <x v="9"/>
    <x v="7"/>
    <n v="0.68500000000000005"/>
  </r>
  <r>
    <x v="0"/>
    <x v="9"/>
    <x v="8"/>
    <n v="0.621"/>
  </r>
  <r>
    <x v="0"/>
    <x v="9"/>
    <x v="9"/>
    <n v="0.68700000000000006"/>
  </r>
  <r>
    <x v="0"/>
    <x v="9"/>
    <x v="10"/>
    <n v="0.66700000000000004"/>
  </r>
  <r>
    <x v="0"/>
    <x v="9"/>
    <x v="11"/>
    <n v="0.109"/>
  </r>
  <r>
    <x v="0"/>
    <x v="9"/>
    <x v="12"/>
    <n v="0.70099999999999996"/>
  </r>
  <r>
    <x v="0"/>
    <x v="9"/>
    <x v="13"/>
    <n v="0.11600000000000001"/>
  </r>
  <r>
    <x v="0"/>
    <x v="9"/>
    <x v="14"/>
    <n v="0.218"/>
  </r>
  <r>
    <x v="0"/>
    <x v="9"/>
    <x v="15"/>
    <n v="0.151"/>
  </r>
  <r>
    <x v="0"/>
    <x v="9"/>
    <x v="16"/>
    <n v="0.65200000000000002"/>
  </r>
  <r>
    <x v="0"/>
    <x v="9"/>
    <x v="17"/>
    <n v="0.67700000000000005"/>
  </r>
  <r>
    <x v="0"/>
    <x v="9"/>
    <x v="18"/>
    <n v="0.158"/>
  </r>
  <r>
    <x v="0"/>
    <x v="9"/>
    <x v="19"/>
    <n v="0.112"/>
  </r>
  <r>
    <x v="1"/>
    <x v="0"/>
    <x v="0"/>
    <n v="0.66800000000000004"/>
  </r>
  <r>
    <x v="1"/>
    <x v="0"/>
    <x v="1"/>
    <n v="0.61499999999999999"/>
  </r>
  <r>
    <x v="1"/>
    <x v="0"/>
    <x v="2"/>
    <n v="0.621"/>
  </r>
  <r>
    <x v="1"/>
    <x v="0"/>
    <x v="3"/>
    <n v="0.61"/>
  </r>
  <r>
    <x v="1"/>
    <x v="0"/>
    <x v="4"/>
    <n v="0.63100000000000001"/>
  </r>
  <r>
    <x v="1"/>
    <x v="0"/>
    <x v="5"/>
    <n v="0.61199999999999999"/>
  </r>
  <r>
    <x v="1"/>
    <x v="0"/>
    <x v="6"/>
    <n v="0.14399999999999999"/>
  </r>
  <r>
    <x v="1"/>
    <x v="0"/>
    <x v="7"/>
    <n v="0.66300000000000003"/>
  </r>
  <r>
    <x v="1"/>
    <x v="0"/>
    <x v="8"/>
    <n v="0.61899999999999999"/>
  </r>
  <r>
    <x v="1"/>
    <x v="0"/>
    <x v="9"/>
    <n v="0.66700000000000004"/>
  </r>
  <r>
    <x v="1"/>
    <x v="0"/>
    <x v="10"/>
    <n v="0.65300000000000002"/>
  </r>
  <r>
    <x v="1"/>
    <x v="0"/>
    <x v="11"/>
    <n v="2.5999999999999999E-2"/>
  </r>
  <r>
    <x v="1"/>
    <x v="0"/>
    <x v="12"/>
    <n v="0.68100000000000005"/>
  </r>
  <r>
    <x v="1"/>
    <x v="0"/>
    <x v="13"/>
    <n v="7.0999999999999994E-2"/>
  </r>
  <r>
    <x v="1"/>
    <x v="0"/>
    <x v="14"/>
    <n v="0.17599999999999999"/>
  </r>
  <r>
    <x v="1"/>
    <x v="0"/>
    <x v="15"/>
    <n v="0.16"/>
  </r>
  <r>
    <x v="1"/>
    <x v="0"/>
    <x v="16"/>
    <n v="0.63700000000000001"/>
  </r>
  <r>
    <x v="1"/>
    <x v="0"/>
    <x v="17"/>
    <n v="0.65700000000000003"/>
  </r>
  <r>
    <x v="1"/>
    <x v="0"/>
    <x v="18"/>
    <n v="0.17100000000000001"/>
  </r>
  <r>
    <x v="1"/>
    <x v="0"/>
    <x v="19"/>
    <n v="0.128"/>
  </r>
  <r>
    <x v="1"/>
    <x v="1"/>
    <x v="0"/>
    <n v="0.66400000000000003"/>
  </r>
  <r>
    <x v="1"/>
    <x v="1"/>
    <x v="1"/>
    <n v="0.61299999999999999"/>
  </r>
  <r>
    <x v="1"/>
    <x v="1"/>
    <x v="2"/>
    <n v="0.61899999999999999"/>
  </r>
  <r>
    <x v="1"/>
    <x v="1"/>
    <x v="3"/>
    <n v="0.60799999999999998"/>
  </r>
  <r>
    <x v="1"/>
    <x v="1"/>
    <x v="4"/>
    <n v="0.628"/>
  </r>
  <r>
    <x v="1"/>
    <x v="1"/>
    <x v="5"/>
    <n v="0.61199999999999999"/>
  </r>
  <r>
    <x v="1"/>
    <x v="1"/>
    <x v="6"/>
    <n v="0.13500000000000001"/>
  </r>
  <r>
    <x v="1"/>
    <x v="1"/>
    <x v="7"/>
    <n v="0.65900000000000003"/>
  </r>
  <r>
    <x v="1"/>
    <x v="1"/>
    <x v="8"/>
    <n v="0.61699999999999999"/>
  </r>
  <r>
    <x v="1"/>
    <x v="1"/>
    <x v="9"/>
    <n v="0.66200000000000003"/>
  </r>
  <r>
    <x v="1"/>
    <x v="1"/>
    <x v="10"/>
    <n v="0.64900000000000002"/>
  </r>
  <r>
    <x v="1"/>
    <x v="1"/>
    <x v="11"/>
    <n v="8.1000000000000003E-2"/>
  </r>
  <r>
    <x v="1"/>
    <x v="1"/>
    <x v="12"/>
    <n v="0.67700000000000005"/>
  </r>
  <r>
    <x v="1"/>
    <x v="1"/>
    <x v="13"/>
    <n v="7.0000000000000007E-2"/>
  </r>
  <r>
    <x v="1"/>
    <x v="1"/>
    <x v="14"/>
    <n v="0.16900000000000001"/>
  </r>
  <r>
    <x v="1"/>
    <x v="1"/>
    <x v="15"/>
    <n v="0.17"/>
  </r>
  <r>
    <x v="1"/>
    <x v="1"/>
    <x v="16"/>
    <n v="0.63300000000000001"/>
  </r>
  <r>
    <x v="1"/>
    <x v="1"/>
    <x v="17"/>
    <n v="0.65300000000000002"/>
  </r>
  <r>
    <x v="1"/>
    <x v="1"/>
    <x v="18"/>
    <n v="0.17899999999999999"/>
  </r>
  <r>
    <x v="1"/>
    <x v="1"/>
    <x v="19"/>
    <n v="0.13700000000000001"/>
  </r>
  <r>
    <x v="1"/>
    <x v="2"/>
    <x v="0"/>
    <n v="0.67100000000000004"/>
  </r>
  <r>
    <x v="1"/>
    <x v="2"/>
    <x v="1"/>
    <n v="0.61599999999999999"/>
  </r>
  <r>
    <x v="1"/>
    <x v="2"/>
    <x v="2"/>
    <n v="0.623"/>
  </r>
  <r>
    <x v="1"/>
    <x v="2"/>
    <x v="3"/>
    <n v="0.61"/>
  </r>
  <r>
    <x v="1"/>
    <x v="2"/>
    <x v="4"/>
    <n v="0.63300000000000001"/>
  </r>
  <r>
    <x v="1"/>
    <x v="2"/>
    <x v="5"/>
    <n v="0.61199999999999999"/>
  </r>
  <r>
    <x v="1"/>
    <x v="2"/>
    <x v="6"/>
    <n v="0.151"/>
  </r>
  <r>
    <x v="1"/>
    <x v="2"/>
    <x v="7"/>
    <n v="0.66600000000000004"/>
  </r>
  <r>
    <x v="1"/>
    <x v="2"/>
    <x v="8"/>
    <n v="0.62"/>
  </r>
  <r>
    <x v="1"/>
    <x v="2"/>
    <x v="9"/>
    <n v="0.67"/>
  </r>
  <r>
    <x v="1"/>
    <x v="2"/>
    <x v="10"/>
    <n v="0.65500000000000003"/>
  </r>
  <r>
    <x v="1"/>
    <x v="2"/>
    <x v="11"/>
    <n v="4.3999999999999997E-2"/>
  </r>
  <r>
    <x v="1"/>
    <x v="2"/>
    <x v="12"/>
    <n v="0.68500000000000005"/>
  </r>
  <r>
    <x v="1"/>
    <x v="2"/>
    <x v="13"/>
    <n v="7.1999999999999995E-2"/>
  </r>
  <r>
    <x v="1"/>
    <x v="2"/>
    <x v="14"/>
    <n v="0.18"/>
  </r>
  <r>
    <x v="1"/>
    <x v="2"/>
    <x v="15"/>
    <n v="0.153"/>
  </r>
  <r>
    <x v="1"/>
    <x v="2"/>
    <x v="16"/>
    <n v="0.63900000000000001"/>
  </r>
  <r>
    <x v="1"/>
    <x v="2"/>
    <x v="17"/>
    <n v="0.66"/>
  </r>
  <r>
    <x v="1"/>
    <x v="2"/>
    <x v="18"/>
    <n v="0.16400000000000001"/>
  </r>
  <r>
    <x v="1"/>
    <x v="2"/>
    <x v="19"/>
    <n v="0.12"/>
  </r>
  <r>
    <x v="1"/>
    <x v="3"/>
    <x v="0"/>
    <n v="0.66800000000000004"/>
  </r>
  <r>
    <x v="1"/>
    <x v="3"/>
    <x v="1"/>
    <n v="0.61399999999999999"/>
  </r>
  <r>
    <x v="1"/>
    <x v="3"/>
    <x v="2"/>
    <n v="0.621"/>
  </r>
  <r>
    <x v="1"/>
    <x v="3"/>
    <x v="3"/>
    <n v="0.60899999999999999"/>
  </r>
  <r>
    <x v="1"/>
    <x v="3"/>
    <x v="4"/>
    <n v="0.63"/>
  </r>
  <r>
    <x v="1"/>
    <x v="3"/>
    <x v="5"/>
    <n v="0.61199999999999999"/>
  </r>
  <r>
    <x v="1"/>
    <x v="3"/>
    <x v="6"/>
    <n v="0.14299999999999999"/>
  </r>
  <r>
    <x v="1"/>
    <x v="3"/>
    <x v="7"/>
    <n v="0.66300000000000003"/>
  </r>
  <r>
    <x v="1"/>
    <x v="3"/>
    <x v="8"/>
    <n v="0.61799999999999999"/>
  </r>
  <r>
    <x v="1"/>
    <x v="3"/>
    <x v="9"/>
    <n v="0.66600000000000004"/>
  </r>
  <r>
    <x v="1"/>
    <x v="3"/>
    <x v="10"/>
    <n v="0.65200000000000002"/>
  </r>
  <r>
    <x v="1"/>
    <x v="3"/>
    <x v="11"/>
    <n v="0.05"/>
  </r>
  <r>
    <x v="1"/>
    <x v="3"/>
    <x v="12"/>
    <n v="0.68100000000000005"/>
  </r>
  <r>
    <x v="1"/>
    <x v="3"/>
    <x v="13"/>
    <n v="7.0000000000000007E-2"/>
  </r>
  <r>
    <x v="1"/>
    <x v="3"/>
    <x v="14"/>
    <n v="0.17399999999999999"/>
  </r>
  <r>
    <x v="1"/>
    <x v="3"/>
    <x v="15"/>
    <n v="0.161"/>
  </r>
  <r>
    <x v="1"/>
    <x v="3"/>
    <x v="16"/>
    <n v="0.63600000000000001"/>
  </r>
  <r>
    <x v="1"/>
    <x v="3"/>
    <x v="17"/>
    <n v="0.65700000000000003"/>
  </r>
  <r>
    <x v="1"/>
    <x v="3"/>
    <x v="18"/>
    <n v="0.17199999999999999"/>
  </r>
  <r>
    <x v="1"/>
    <x v="3"/>
    <x v="19"/>
    <n v="0.128"/>
  </r>
  <r>
    <x v="1"/>
    <x v="4"/>
    <x v="0"/>
    <n v="0.66700000000000004"/>
  </r>
  <r>
    <x v="1"/>
    <x v="4"/>
    <x v="1"/>
    <n v="0.61399999999999999"/>
  </r>
  <r>
    <x v="1"/>
    <x v="4"/>
    <x v="2"/>
    <n v="0.621"/>
  </r>
  <r>
    <x v="1"/>
    <x v="4"/>
    <x v="3"/>
    <n v="0.60899999999999999"/>
  </r>
  <r>
    <x v="1"/>
    <x v="4"/>
    <x v="4"/>
    <n v="0.63"/>
  </r>
  <r>
    <x v="1"/>
    <x v="4"/>
    <x v="5"/>
    <n v="0.61199999999999999"/>
  </r>
  <r>
    <x v="1"/>
    <x v="4"/>
    <x v="6"/>
    <n v="0.14099999999999999"/>
  </r>
  <r>
    <x v="1"/>
    <x v="4"/>
    <x v="7"/>
    <n v="0.66200000000000003"/>
  </r>
  <r>
    <x v="1"/>
    <x v="4"/>
    <x v="8"/>
    <n v="0.61899999999999999"/>
  </r>
  <r>
    <x v="1"/>
    <x v="4"/>
    <x v="9"/>
    <n v="0.66500000000000004"/>
  </r>
  <r>
    <x v="1"/>
    <x v="4"/>
    <x v="10"/>
    <n v="0.65200000000000002"/>
  </r>
  <r>
    <x v="1"/>
    <x v="4"/>
    <x v="11"/>
    <n v="2.5000000000000001E-2"/>
  </r>
  <r>
    <x v="1"/>
    <x v="4"/>
    <x v="12"/>
    <n v="0.68"/>
  </r>
  <r>
    <x v="1"/>
    <x v="4"/>
    <x v="13"/>
    <n v="7.0999999999999994E-2"/>
  </r>
  <r>
    <x v="1"/>
    <x v="4"/>
    <x v="14"/>
    <n v="0.17399999999999999"/>
  </r>
  <r>
    <x v="1"/>
    <x v="4"/>
    <x v="15"/>
    <n v="0.16300000000000001"/>
  </r>
  <r>
    <x v="1"/>
    <x v="4"/>
    <x v="16"/>
    <n v="0.63600000000000001"/>
  </r>
  <r>
    <x v="1"/>
    <x v="4"/>
    <x v="17"/>
    <n v="0.65600000000000003"/>
  </r>
  <r>
    <x v="1"/>
    <x v="4"/>
    <x v="18"/>
    <n v="0.17299999999999999"/>
  </r>
  <r>
    <x v="1"/>
    <x v="4"/>
    <x v="19"/>
    <n v="0.13200000000000001"/>
  </r>
  <r>
    <x v="1"/>
    <x v="5"/>
    <x v="0"/>
    <n v="0.67"/>
  </r>
  <r>
    <x v="1"/>
    <x v="5"/>
    <x v="1"/>
    <n v="0.61499999999999999"/>
  </r>
  <r>
    <x v="1"/>
    <x v="5"/>
    <x v="2"/>
    <n v="0.622"/>
  </r>
  <r>
    <x v="1"/>
    <x v="5"/>
    <x v="3"/>
    <n v="0.61"/>
  </r>
  <r>
    <x v="1"/>
    <x v="5"/>
    <x v="4"/>
    <n v="0.63200000000000001"/>
  </r>
  <r>
    <x v="1"/>
    <x v="5"/>
    <x v="5"/>
    <n v="0.61199999999999999"/>
  </r>
  <r>
    <x v="1"/>
    <x v="5"/>
    <x v="6"/>
    <n v="0.14599999999999999"/>
  </r>
  <r>
    <x v="1"/>
    <x v="5"/>
    <x v="7"/>
    <n v="0.66400000000000003"/>
  </r>
  <r>
    <x v="1"/>
    <x v="5"/>
    <x v="8"/>
    <n v="0.62"/>
  </r>
  <r>
    <x v="1"/>
    <x v="5"/>
    <x v="9"/>
    <n v="0.66800000000000004"/>
  </r>
  <r>
    <x v="1"/>
    <x v="5"/>
    <x v="10"/>
    <n v="0.65400000000000003"/>
  </r>
  <r>
    <x v="1"/>
    <x v="5"/>
    <x v="11"/>
    <n v="2.5000000000000001E-2"/>
  </r>
  <r>
    <x v="1"/>
    <x v="5"/>
    <x v="12"/>
    <n v="0.68200000000000005"/>
  </r>
  <r>
    <x v="1"/>
    <x v="5"/>
    <x v="13"/>
    <n v="7.1999999999999995E-2"/>
  </r>
  <r>
    <x v="1"/>
    <x v="5"/>
    <x v="14"/>
    <n v="0.17699999999999999"/>
  </r>
  <r>
    <x v="1"/>
    <x v="5"/>
    <x v="15"/>
    <n v="0.159"/>
  </r>
  <r>
    <x v="1"/>
    <x v="5"/>
    <x v="16"/>
    <n v="0.63700000000000001"/>
  </r>
  <r>
    <x v="1"/>
    <x v="5"/>
    <x v="17"/>
    <n v="0.65800000000000003"/>
  </r>
  <r>
    <x v="1"/>
    <x v="5"/>
    <x v="18"/>
    <n v="0.16900000000000001"/>
  </r>
  <r>
    <x v="1"/>
    <x v="5"/>
    <x v="19"/>
    <n v="0.127"/>
  </r>
  <r>
    <x v="1"/>
    <x v="6"/>
    <x v="0"/>
    <n v="0.67"/>
  </r>
  <r>
    <x v="1"/>
    <x v="6"/>
    <x v="1"/>
    <n v="0.61499999999999999"/>
  </r>
  <r>
    <x v="1"/>
    <x v="6"/>
    <x v="2"/>
    <n v="0.622"/>
  </r>
  <r>
    <x v="1"/>
    <x v="6"/>
    <x v="3"/>
    <n v="0.61"/>
  </r>
  <r>
    <x v="1"/>
    <x v="6"/>
    <x v="4"/>
    <n v="0.63200000000000001"/>
  </r>
  <r>
    <x v="1"/>
    <x v="6"/>
    <x v="5"/>
    <n v="0.61199999999999999"/>
  </r>
  <r>
    <x v="1"/>
    <x v="6"/>
    <x v="6"/>
    <n v="0.14799999999999999"/>
  </r>
  <r>
    <x v="1"/>
    <x v="6"/>
    <x v="7"/>
    <n v="0.66500000000000004"/>
  </r>
  <r>
    <x v="1"/>
    <x v="6"/>
    <x v="8"/>
    <n v="0.62"/>
  </r>
  <r>
    <x v="1"/>
    <x v="6"/>
    <x v="9"/>
    <n v="0.66800000000000004"/>
  </r>
  <r>
    <x v="1"/>
    <x v="6"/>
    <x v="10"/>
    <n v="0.65400000000000003"/>
  </r>
  <r>
    <x v="1"/>
    <x v="6"/>
    <x v="11"/>
    <n v="2.4E-2"/>
  </r>
  <r>
    <x v="1"/>
    <x v="6"/>
    <x v="12"/>
    <n v="0.68300000000000005"/>
  </r>
  <r>
    <x v="1"/>
    <x v="6"/>
    <x v="13"/>
    <n v="7.2999999999999995E-2"/>
  </r>
  <r>
    <x v="1"/>
    <x v="6"/>
    <x v="14"/>
    <n v="0.17899999999999999"/>
  </r>
  <r>
    <x v="1"/>
    <x v="6"/>
    <x v="15"/>
    <n v="0.157"/>
  </r>
  <r>
    <x v="1"/>
    <x v="6"/>
    <x v="16"/>
    <n v="0.63800000000000001"/>
  </r>
  <r>
    <x v="1"/>
    <x v="6"/>
    <x v="17"/>
    <n v="0.65900000000000003"/>
  </r>
  <r>
    <x v="1"/>
    <x v="6"/>
    <x v="18"/>
    <n v="0.16700000000000001"/>
  </r>
  <r>
    <x v="1"/>
    <x v="6"/>
    <x v="19"/>
    <n v="0.127"/>
  </r>
  <r>
    <x v="1"/>
    <x v="7"/>
    <x v="0"/>
    <n v="0.66600000000000004"/>
  </r>
  <r>
    <x v="1"/>
    <x v="7"/>
    <x v="1"/>
    <n v="0.61299999999999999"/>
  </r>
  <r>
    <x v="1"/>
    <x v="7"/>
    <x v="2"/>
    <n v="0.61899999999999999"/>
  </r>
  <r>
    <x v="1"/>
    <x v="7"/>
    <x v="3"/>
    <n v="0.60799999999999998"/>
  </r>
  <r>
    <x v="1"/>
    <x v="7"/>
    <x v="4"/>
    <n v="0.629"/>
  </r>
  <r>
    <x v="1"/>
    <x v="7"/>
    <x v="5"/>
    <n v="0.61099999999999999"/>
  </r>
  <r>
    <x v="1"/>
    <x v="7"/>
    <x v="6"/>
    <n v="0.14000000000000001"/>
  </r>
  <r>
    <x v="1"/>
    <x v="7"/>
    <x v="7"/>
    <n v="0.66"/>
  </r>
  <r>
    <x v="1"/>
    <x v="7"/>
    <x v="8"/>
    <n v="0.61699999999999999"/>
  </r>
  <r>
    <x v="1"/>
    <x v="7"/>
    <x v="9"/>
    <n v="0.66400000000000003"/>
  </r>
  <r>
    <x v="1"/>
    <x v="7"/>
    <x v="10"/>
    <n v="0.65"/>
  </r>
  <r>
    <x v="1"/>
    <x v="7"/>
    <x v="11"/>
    <n v="2.7E-2"/>
  </r>
  <r>
    <x v="1"/>
    <x v="7"/>
    <x v="12"/>
    <n v="0.67800000000000005"/>
  </r>
  <r>
    <x v="1"/>
    <x v="7"/>
    <x v="13"/>
    <n v="7.0999999999999994E-2"/>
  </r>
  <r>
    <x v="1"/>
    <x v="7"/>
    <x v="14"/>
    <n v="0.17199999999999999"/>
  </r>
  <r>
    <x v="1"/>
    <x v="7"/>
    <x v="15"/>
    <n v="0.16600000000000001"/>
  </r>
  <r>
    <x v="1"/>
    <x v="7"/>
    <x v="16"/>
    <n v="0.63400000000000001"/>
  </r>
  <r>
    <x v="1"/>
    <x v="7"/>
    <x v="17"/>
    <n v="0.65500000000000003"/>
  </r>
  <r>
    <x v="1"/>
    <x v="7"/>
    <x v="18"/>
    <n v="0.17599999999999999"/>
  </r>
  <r>
    <x v="1"/>
    <x v="7"/>
    <x v="19"/>
    <n v="0.13200000000000001"/>
  </r>
  <r>
    <x v="1"/>
    <x v="8"/>
    <x v="0"/>
    <n v="0.67400000000000004"/>
  </r>
  <r>
    <x v="1"/>
    <x v="8"/>
    <x v="1"/>
    <n v="0.61699999999999999"/>
  </r>
  <r>
    <x v="1"/>
    <x v="8"/>
    <x v="2"/>
    <n v="0.625"/>
  </r>
  <r>
    <x v="1"/>
    <x v="8"/>
    <x v="3"/>
    <n v="0.61199999999999999"/>
  </r>
  <r>
    <x v="1"/>
    <x v="8"/>
    <x v="4"/>
    <n v="0.63500000000000001"/>
  </r>
  <r>
    <x v="1"/>
    <x v="8"/>
    <x v="5"/>
    <n v="0.61399999999999999"/>
  </r>
  <r>
    <x v="1"/>
    <x v="8"/>
    <x v="6"/>
    <n v="0.155"/>
  </r>
  <r>
    <x v="1"/>
    <x v="8"/>
    <x v="7"/>
    <n v="0.66900000000000004"/>
  </r>
  <r>
    <x v="1"/>
    <x v="8"/>
    <x v="8"/>
    <n v="0.622"/>
  </r>
  <r>
    <x v="1"/>
    <x v="8"/>
    <x v="9"/>
    <n v="0.67300000000000004"/>
  </r>
  <r>
    <x v="1"/>
    <x v="8"/>
    <x v="10"/>
    <n v="0.65800000000000003"/>
  </r>
  <r>
    <x v="1"/>
    <x v="8"/>
    <x v="11"/>
    <n v="3.9E-2"/>
  </r>
  <r>
    <x v="1"/>
    <x v="8"/>
    <x v="12"/>
    <n v="0.68700000000000006"/>
  </r>
  <r>
    <x v="1"/>
    <x v="8"/>
    <x v="13"/>
    <n v="7.5999999999999998E-2"/>
  </r>
  <r>
    <x v="1"/>
    <x v="8"/>
    <x v="14"/>
    <n v="0.185"/>
  </r>
  <r>
    <x v="1"/>
    <x v="8"/>
    <x v="15"/>
    <n v="0.14899999999999999"/>
  </r>
  <r>
    <x v="1"/>
    <x v="8"/>
    <x v="16"/>
    <n v="0.64200000000000002"/>
  </r>
  <r>
    <x v="1"/>
    <x v="8"/>
    <x v="17"/>
    <n v="0.66300000000000003"/>
  </r>
  <r>
    <x v="1"/>
    <x v="8"/>
    <x v="18"/>
    <n v="0.159"/>
  </r>
  <r>
    <x v="1"/>
    <x v="8"/>
    <x v="19"/>
    <n v="0.12"/>
  </r>
  <r>
    <x v="1"/>
    <x v="9"/>
    <x v="0"/>
    <n v="0.67300000000000004"/>
  </r>
  <r>
    <x v="1"/>
    <x v="9"/>
    <x v="1"/>
    <n v="0.61699999999999999"/>
  </r>
  <r>
    <x v="1"/>
    <x v="9"/>
    <x v="2"/>
    <n v="0.624"/>
  </r>
  <r>
    <x v="1"/>
    <x v="9"/>
    <x v="3"/>
    <n v="0.61199999999999999"/>
  </r>
  <r>
    <x v="1"/>
    <x v="9"/>
    <x v="4"/>
    <n v="0.63400000000000001"/>
  </r>
  <r>
    <x v="1"/>
    <x v="9"/>
    <x v="5"/>
    <n v="0.61399999999999999"/>
  </r>
  <r>
    <x v="1"/>
    <x v="9"/>
    <x v="6"/>
    <n v="0.151"/>
  </r>
  <r>
    <x v="1"/>
    <x v="9"/>
    <x v="7"/>
    <n v="0.66700000000000004"/>
  </r>
  <r>
    <x v="1"/>
    <x v="9"/>
    <x v="8"/>
    <n v="0.622"/>
  </r>
  <r>
    <x v="1"/>
    <x v="9"/>
    <x v="9"/>
    <n v="0.67100000000000004"/>
  </r>
  <r>
    <x v="1"/>
    <x v="9"/>
    <x v="10"/>
    <n v="0.65700000000000003"/>
  </r>
  <r>
    <x v="1"/>
    <x v="9"/>
    <x v="11"/>
    <n v="2.1999999999999999E-2"/>
  </r>
  <r>
    <x v="1"/>
    <x v="9"/>
    <x v="12"/>
    <n v="0.68600000000000005"/>
  </r>
  <r>
    <x v="1"/>
    <x v="9"/>
    <x v="13"/>
    <n v="7.3999999999999996E-2"/>
  </r>
  <r>
    <x v="1"/>
    <x v="9"/>
    <x v="14"/>
    <n v="0.182"/>
  </r>
  <r>
    <x v="1"/>
    <x v="9"/>
    <x v="15"/>
    <n v="0.152"/>
  </r>
  <r>
    <x v="1"/>
    <x v="9"/>
    <x v="16"/>
    <n v="0.64"/>
  </r>
  <r>
    <x v="1"/>
    <x v="9"/>
    <x v="17"/>
    <n v="0.66200000000000003"/>
  </r>
  <r>
    <x v="1"/>
    <x v="9"/>
    <x v="18"/>
    <n v="0.16200000000000001"/>
  </r>
  <r>
    <x v="1"/>
    <x v="9"/>
    <x v="19"/>
    <n v="0.124"/>
  </r>
  <r>
    <x v="2"/>
    <x v="0"/>
    <x v="0"/>
    <n v="0.73799999999999999"/>
  </r>
  <r>
    <x v="2"/>
    <x v="0"/>
    <x v="1"/>
    <n v="0.65700000000000003"/>
  </r>
  <r>
    <x v="2"/>
    <x v="0"/>
    <x v="2"/>
    <n v="0.67100000000000004"/>
  </r>
  <r>
    <x v="2"/>
    <x v="0"/>
    <x v="3"/>
    <n v="0.65200000000000002"/>
  </r>
  <r>
    <x v="2"/>
    <x v="0"/>
    <x v="4"/>
    <n v="0.68600000000000005"/>
  </r>
  <r>
    <x v="2"/>
    <x v="0"/>
    <x v="5"/>
    <n v="0.64800000000000002"/>
  </r>
  <r>
    <x v="2"/>
    <x v="0"/>
    <x v="6"/>
    <n v="0.23499999999999999"/>
  </r>
  <r>
    <x v="2"/>
    <x v="0"/>
    <x v="7"/>
    <n v="0.73799999999999999"/>
  </r>
  <r>
    <x v="2"/>
    <x v="0"/>
    <x v="8"/>
    <n v="0.66600000000000004"/>
  </r>
  <r>
    <x v="2"/>
    <x v="0"/>
    <x v="9"/>
    <n v="0.73799999999999999"/>
  </r>
  <r>
    <x v="2"/>
    <x v="0"/>
    <x v="10"/>
    <n v="0.71699999999999997"/>
  </r>
  <r>
    <x v="2"/>
    <x v="0"/>
    <x v="11"/>
    <n v="0.11899999999999999"/>
  </r>
  <r>
    <x v="2"/>
    <x v="0"/>
    <x v="12"/>
    <n v="0.752"/>
  </r>
  <r>
    <x v="2"/>
    <x v="0"/>
    <x v="13"/>
    <n v="0.14899999999999999"/>
  </r>
  <r>
    <x v="2"/>
    <x v="0"/>
    <x v="14"/>
    <n v="0.26"/>
  </r>
  <r>
    <x v="2"/>
    <x v="0"/>
    <x v="15"/>
    <n v="0.12"/>
  </r>
  <r>
    <x v="2"/>
    <x v="0"/>
    <x v="16"/>
    <n v="0.70399999999999996"/>
  </r>
  <r>
    <x v="2"/>
    <x v="0"/>
    <x v="17"/>
    <n v="0.72899999999999998"/>
  </r>
  <r>
    <x v="2"/>
    <x v="0"/>
    <x v="18"/>
    <n v="0.122"/>
  </r>
  <r>
    <x v="2"/>
    <x v="0"/>
    <x v="19"/>
    <n v="7.4999999999999997E-2"/>
  </r>
  <r>
    <x v="3"/>
    <x v="0"/>
    <x v="0"/>
    <n v="0.67500000000000004"/>
  </r>
  <r>
    <x v="3"/>
    <x v="0"/>
    <x v="1"/>
    <n v="0.624"/>
  </r>
  <r>
    <x v="3"/>
    <x v="0"/>
    <x v="2"/>
    <n v="0.63100000000000001"/>
  </r>
  <r>
    <x v="3"/>
    <x v="0"/>
    <x v="3"/>
    <n v="0.61899999999999999"/>
  </r>
  <r>
    <x v="3"/>
    <x v="0"/>
    <x v="4"/>
    <n v="0.63700000000000001"/>
  </r>
  <r>
    <x v="3"/>
    <x v="0"/>
    <x v="5"/>
    <n v="0.626"/>
  </r>
  <r>
    <x v="3"/>
    <x v="0"/>
    <x v="6"/>
    <n v="0.12"/>
  </r>
  <r>
    <x v="3"/>
    <x v="0"/>
    <x v="7"/>
    <n v="0.67100000000000004"/>
  </r>
  <r>
    <x v="3"/>
    <x v="0"/>
    <x v="8"/>
    <n v="0.63"/>
  </r>
  <r>
    <x v="3"/>
    <x v="0"/>
    <x v="9"/>
    <n v="0.67200000000000004"/>
  </r>
  <r>
    <x v="3"/>
    <x v="0"/>
    <x v="10"/>
    <n v="0.65900000000000003"/>
  </r>
  <r>
    <x v="3"/>
    <x v="0"/>
    <x v="11"/>
    <n v="0.123"/>
  </r>
  <r>
    <x v="3"/>
    <x v="0"/>
    <x v="12"/>
    <n v="0.68500000000000005"/>
  </r>
  <r>
    <x v="3"/>
    <x v="0"/>
    <x v="13"/>
    <n v="9.4E-2"/>
  </r>
  <r>
    <x v="3"/>
    <x v="0"/>
    <x v="14"/>
    <n v="0.11"/>
  </r>
  <r>
    <x v="3"/>
    <x v="0"/>
    <x v="15"/>
    <n v="0.20200000000000001"/>
  </r>
  <r>
    <x v="3"/>
    <x v="0"/>
    <x v="16"/>
    <n v="0.64800000000000002"/>
  </r>
  <r>
    <x v="3"/>
    <x v="0"/>
    <x v="17"/>
    <n v="0.66500000000000004"/>
  </r>
  <r>
    <x v="3"/>
    <x v="0"/>
    <x v="18"/>
    <n v="0.20399999999999999"/>
  </r>
  <r>
    <x v="3"/>
    <x v="0"/>
    <x v="19"/>
    <n v="0.17699999999999999"/>
  </r>
  <r>
    <x v="3"/>
    <x v="1"/>
    <x v="0"/>
    <n v="0.68"/>
  </r>
  <r>
    <x v="3"/>
    <x v="1"/>
    <x v="1"/>
    <n v="0.626"/>
  </r>
  <r>
    <x v="3"/>
    <x v="1"/>
    <x v="2"/>
    <n v="0.63300000000000001"/>
  </r>
  <r>
    <x v="3"/>
    <x v="1"/>
    <x v="3"/>
    <n v="0.621"/>
  </r>
  <r>
    <x v="3"/>
    <x v="1"/>
    <x v="4"/>
    <n v="0.64100000000000001"/>
  </r>
  <r>
    <x v="3"/>
    <x v="1"/>
    <x v="5"/>
    <n v="0.626"/>
  </r>
  <r>
    <x v="3"/>
    <x v="1"/>
    <x v="6"/>
    <n v="0.13500000000000001"/>
  </r>
  <r>
    <x v="3"/>
    <x v="1"/>
    <x v="7"/>
    <n v="0.67700000000000005"/>
  </r>
  <r>
    <x v="3"/>
    <x v="1"/>
    <x v="8"/>
    <n v="0.63200000000000001"/>
  </r>
  <r>
    <x v="3"/>
    <x v="1"/>
    <x v="9"/>
    <n v="0.67800000000000005"/>
  </r>
  <r>
    <x v="3"/>
    <x v="1"/>
    <x v="10"/>
    <n v="0.66400000000000003"/>
  </r>
  <r>
    <x v="3"/>
    <x v="1"/>
    <x v="11"/>
    <n v="0.12"/>
  </r>
  <r>
    <x v="3"/>
    <x v="1"/>
    <x v="12"/>
    <n v="0.69199999999999995"/>
  </r>
  <r>
    <x v="3"/>
    <x v="1"/>
    <x v="13"/>
    <n v="6.8000000000000005E-2"/>
  </r>
  <r>
    <x v="3"/>
    <x v="1"/>
    <x v="14"/>
    <n v="0.11799999999999999"/>
  </r>
  <r>
    <x v="3"/>
    <x v="1"/>
    <x v="15"/>
    <n v="0.193"/>
  </r>
  <r>
    <x v="3"/>
    <x v="1"/>
    <x v="16"/>
    <n v="0.65300000000000002"/>
  </r>
  <r>
    <x v="3"/>
    <x v="1"/>
    <x v="17"/>
    <n v="0.67100000000000004"/>
  </r>
  <r>
    <x v="3"/>
    <x v="1"/>
    <x v="18"/>
    <n v="0.19400000000000001"/>
  </r>
  <r>
    <x v="3"/>
    <x v="1"/>
    <x v="19"/>
    <n v="0.16900000000000001"/>
  </r>
  <r>
    <x v="3"/>
    <x v="2"/>
    <x v="0"/>
    <n v="0.68200000000000005"/>
  </r>
  <r>
    <x v="3"/>
    <x v="2"/>
    <x v="1"/>
    <n v="0.626"/>
  </r>
  <r>
    <x v="3"/>
    <x v="2"/>
    <x v="2"/>
    <n v="0.63400000000000001"/>
  </r>
  <r>
    <x v="3"/>
    <x v="2"/>
    <x v="3"/>
    <n v="0.622"/>
  </r>
  <r>
    <x v="3"/>
    <x v="2"/>
    <x v="4"/>
    <n v="0.64200000000000002"/>
  </r>
  <r>
    <x v="3"/>
    <x v="2"/>
    <x v="5"/>
    <n v="0.627"/>
  </r>
  <r>
    <x v="3"/>
    <x v="2"/>
    <x v="6"/>
    <n v="0.13900000000000001"/>
  </r>
  <r>
    <x v="3"/>
    <x v="2"/>
    <x v="7"/>
    <n v="0.67900000000000005"/>
  </r>
  <r>
    <x v="3"/>
    <x v="2"/>
    <x v="8"/>
    <n v="0.63300000000000001"/>
  </r>
  <r>
    <x v="3"/>
    <x v="2"/>
    <x v="9"/>
    <n v="0.68"/>
  </r>
  <r>
    <x v="3"/>
    <x v="2"/>
    <x v="10"/>
    <n v="0.66600000000000004"/>
  </r>
  <r>
    <x v="3"/>
    <x v="2"/>
    <x v="11"/>
    <n v="0.11899999999999999"/>
  </r>
  <r>
    <x v="3"/>
    <x v="2"/>
    <x v="12"/>
    <n v="0.69299999999999995"/>
  </r>
  <r>
    <x v="3"/>
    <x v="2"/>
    <x v="13"/>
    <n v="6.7000000000000004E-2"/>
  </r>
  <r>
    <x v="3"/>
    <x v="2"/>
    <x v="14"/>
    <n v="0.12"/>
  </r>
  <r>
    <x v="3"/>
    <x v="2"/>
    <x v="15"/>
    <n v="0.19"/>
  </r>
  <r>
    <x v="3"/>
    <x v="2"/>
    <x v="16"/>
    <n v="0.65400000000000003"/>
  </r>
  <r>
    <x v="3"/>
    <x v="2"/>
    <x v="17"/>
    <n v="0.67300000000000004"/>
  </r>
  <r>
    <x v="3"/>
    <x v="2"/>
    <x v="18"/>
    <n v="0.191"/>
  </r>
  <r>
    <x v="3"/>
    <x v="2"/>
    <x v="19"/>
    <n v="0.16700000000000001"/>
  </r>
  <r>
    <x v="3"/>
    <x v="3"/>
    <x v="0"/>
    <n v="0.67600000000000005"/>
  </r>
  <r>
    <x v="3"/>
    <x v="3"/>
    <x v="1"/>
    <n v="0.624"/>
  </r>
  <r>
    <x v="3"/>
    <x v="3"/>
    <x v="2"/>
    <n v="0.63100000000000001"/>
  </r>
  <r>
    <x v="3"/>
    <x v="3"/>
    <x v="3"/>
    <n v="0.62"/>
  </r>
  <r>
    <x v="3"/>
    <x v="3"/>
    <x v="4"/>
    <n v="0.63800000000000001"/>
  </r>
  <r>
    <x v="3"/>
    <x v="3"/>
    <x v="5"/>
    <n v="0.626"/>
  </r>
  <r>
    <x v="3"/>
    <x v="3"/>
    <x v="6"/>
    <n v="0.124"/>
  </r>
  <r>
    <x v="3"/>
    <x v="3"/>
    <x v="7"/>
    <n v="0.67200000000000004"/>
  </r>
  <r>
    <x v="3"/>
    <x v="3"/>
    <x v="8"/>
    <n v="0.63100000000000001"/>
  </r>
  <r>
    <x v="3"/>
    <x v="3"/>
    <x v="9"/>
    <n v="0.67400000000000004"/>
  </r>
  <r>
    <x v="3"/>
    <x v="3"/>
    <x v="10"/>
    <n v="0.66100000000000003"/>
  </r>
  <r>
    <x v="3"/>
    <x v="3"/>
    <x v="11"/>
    <n v="0.121"/>
  </r>
  <r>
    <x v="3"/>
    <x v="3"/>
    <x v="12"/>
    <n v="0.68700000000000006"/>
  </r>
  <r>
    <x v="3"/>
    <x v="3"/>
    <x v="13"/>
    <n v="9.5000000000000001E-2"/>
  </r>
  <r>
    <x v="3"/>
    <x v="3"/>
    <x v="14"/>
    <n v="0.113"/>
  </r>
  <r>
    <x v="3"/>
    <x v="3"/>
    <x v="15"/>
    <n v="0.19900000000000001"/>
  </r>
  <r>
    <x v="3"/>
    <x v="3"/>
    <x v="16"/>
    <n v="0.64900000000000002"/>
  </r>
  <r>
    <x v="3"/>
    <x v="3"/>
    <x v="17"/>
    <n v="0.66700000000000004"/>
  </r>
  <r>
    <x v="3"/>
    <x v="3"/>
    <x v="18"/>
    <n v="0.20100000000000001"/>
  </r>
  <r>
    <x v="3"/>
    <x v="3"/>
    <x v="19"/>
    <n v="0.17499999999999999"/>
  </r>
  <r>
    <x v="3"/>
    <x v="4"/>
    <x v="0"/>
    <n v="0.68500000000000005"/>
  </r>
  <r>
    <x v="3"/>
    <x v="4"/>
    <x v="1"/>
    <n v="0.628"/>
  </r>
  <r>
    <x v="3"/>
    <x v="4"/>
    <x v="2"/>
    <n v="0.63600000000000001"/>
  </r>
  <r>
    <x v="3"/>
    <x v="4"/>
    <x v="3"/>
    <n v="0.623"/>
  </r>
  <r>
    <x v="3"/>
    <x v="4"/>
    <x v="4"/>
    <n v="0.64400000000000002"/>
  </r>
  <r>
    <x v="3"/>
    <x v="4"/>
    <x v="5"/>
    <n v="0.628"/>
  </r>
  <r>
    <x v="3"/>
    <x v="4"/>
    <x v="6"/>
    <n v="0.14299999999999999"/>
  </r>
  <r>
    <x v="3"/>
    <x v="4"/>
    <x v="7"/>
    <n v="0.68200000000000005"/>
  </r>
  <r>
    <x v="3"/>
    <x v="4"/>
    <x v="8"/>
    <n v="0.63500000000000001"/>
  </r>
  <r>
    <x v="3"/>
    <x v="4"/>
    <x v="9"/>
    <n v="0.68300000000000005"/>
  </r>
  <r>
    <x v="3"/>
    <x v="4"/>
    <x v="10"/>
    <n v="0.66800000000000004"/>
  </r>
  <r>
    <x v="3"/>
    <x v="4"/>
    <x v="11"/>
    <n v="0.11700000000000001"/>
  </r>
  <r>
    <x v="3"/>
    <x v="4"/>
    <x v="12"/>
    <n v="0.69599999999999995"/>
  </r>
  <r>
    <x v="3"/>
    <x v="4"/>
    <x v="13"/>
    <n v="6.5000000000000002E-2"/>
  </r>
  <r>
    <x v="3"/>
    <x v="4"/>
    <x v="14"/>
    <n v="0.121"/>
  </r>
  <r>
    <x v="3"/>
    <x v="4"/>
    <x v="15"/>
    <n v="0.187"/>
  </r>
  <r>
    <x v="3"/>
    <x v="4"/>
    <x v="16"/>
    <n v="0.65700000000000003"/>
  </r>
  <r>
    <x v="3"/>
    <x v="4"/>
    <x v="17"/>
    <n v="0.67600000000000005"/>
  </r>
  <r>
    <x v="3"/>
    <x v="4"/>
    <x v="18"/>
    <n v="0.112"/>
  </r>
  <r>
    <x v="3"/>
    <x v="4"/>
    <x v="19"/>
    <n v="0.16600000000000001"/>
  </r>
  <r>
    <x v="3"/>
    <x v="5"/>
    <x v="0"/>
    <n v="0.68400000000000005"/>
  </r>
  <r>
    <x v="3"/>
    <x v="5"/>
    <x v="1"/>
    <n v="0.627"/>
  </r>
  <r>
    <x v="3"/>
    <x v="5"/>
    <x v="2"/>
    <n v="0.63600000000000001"/>
  </r>
  <r>
    <x v="3"/>
    <x v="5"/>
    <x v="3"/>
    <n v="0.623"/>
  </r>
  <r>
    <x v="3"/>
    <x v="5"/>
    <x v="4"/>
    <n v="0.64300000000000002"/>
  </r>
  <r>
    <x v="3"/>
    <x v="5"/>
    <x v="5"/>
    <n v="0.628"/>
  </r>
  <r>
    <x v="3"/>
    <x v="5"/>
    <x v="6"/>
    <n v="0.14000000000000001"/>
  </r>
  <r>
    <x v="3"/>
    <x v="5"/>
    <x v="7"/>
    <n v="0.68100000000000005"/>
  </r>
  <r>
    <x v="3"/>
    <x v="5"/>
    <x v="8"/>
    <n v="0.63400000000000001"/>
  </r>
  <r>
    <x v="3"/>
    <x v="5"/>
    <x v="9"/>
    <n v="0.68200000000000005"/>
  </r>
  <r>
    <x v="3"/>
    <x v="5"/>
    <x v="10"/>
    <n v="0.66800000000000004"/>
  </r>
  <r>
    <x v="3"/>
    <x v="5"/>
    <x v="11"/>
    <n v="0.11799999999999999"/>
  </r>
  <r>
    <x v="3"/>
    <x v="5"/>
    <x v="12"/>
    <n v="0.69499999999999995"/>
  </r>
  <r>
    <x v="3"/>
    <x v="5"/>
    <x v="13"/>
    <n v="6.5000000000000002E-2"/>
  </r>
  <r>
    <x v="3"/>
    <x v="5"/>
    <x v="14"/>
    <n v="0.11899999999999999"/>
  </r>
  <r>
    <x v="3"/>
    <x v="5"/>
    <x v="15"/>
    <n v="0.189"/>
  </r>
  <r>
    <x v="3"/>
    <x v="5"/>
    <x v="16"/>
    <n v="0.65600000000000003"/>
  </r>
  <r>
    <x v="3"/>
    <x v="5"/>
    <x v="17"/>
    <n v="0.67500000000000004"/>
  </r>
  <r>
    <x v="3"/>
    <x v="5"/>
    <x v="18"/>
    <n v="0.112"/>
  </r>
  <r>
    <x v="3"/>
    <x v="5"/>
    <x v="19"/>
    <n v="0.16900000000000001"/>
  </r>
  <r>
    <x v="3"/>
    <x v="6"/>
    <x v="0"/>
    <n v="0.65800000000000003"/>
  </r>
  <r>
    <x v="3"/>
    <x v="6"/>
    <x v="1"/>
    <n v="0.61799999999999999"/>
  </r>
  <r>
    <x v="3"/>
    <x v="6"/>
    <x v="2"/>
    <n v="0.622"/>
  </r>
  <r>
    <x v="3"/>
    <x v="6"/>
    <x v="3"/>
    <n v="0.61399999999999999"/>
  </r>
  <r>
    <x v="3"/>
    <x v="6"/>
    <x v="4"/>
    <n v="0.626"/>
  </r>
  <r>
    <x v="3"/>
    <x v="6"/>
    <x v="5"/>
    <n v="0.623"/>
  </r>
  <r>
    <x v="3"/>
    <x v="6"/>
    <x v="6"/>
    <n v="0.09"/>
  </r>
  <r>
    <x v="3"/>
    <x v="6"/>
    <x v="7"/>
    <n v="0.65400000000000003"/>
  </r>
  <r>
    <x v="3"/>
    <x v="6"/>
    <x v="8"/>
    <n v="0.621"/>
  </r>
  <r>
    <x v="3"/>
    <x v="6"/>
    <x v="9"/>
    <n v="0.65500000000000003"/>
  </r>
  <r>
    <x v="3"/>
    <x v="6"/>
    <x v="10"/>
    <n v="0.64400000000000002"/>
  </r>
  <r>
    <x v="3"/>
    <x v="6"/>
    <x v="11"/>
    <n v="0.14199999999999999"/>
  </r>
  <r>
    <x v="3"/>
    <x v="6"/>
    <x v="12"/>
    <n v="0.66900000000000004"/>
  </r>
  <r>
    <x v="3"/>
    <x v="6"/>
    <x v="13"/>
    <n v="9.5000000000000001E-2"/>
  </r>
  <r>
    <x v="3"/>
    <x v="6"/>
    <x v="14"/>
    <n v="9.8000000000000004E-2"/>
  </r>
  <r>
    <x v="3"/>
    <x v="6"/>
    <x v="15"/>
    <n v="0.22900000000000001"/>
  </r>
  <r>
    <x v="3"/>
    <x v="6"/>
    <x v="16"/>
    <n v="0.63400000000000001"/>
  </r>
  <r>
    <x v="3"/>
    <x v="6"/>
    <x v="17"/>
    <n v="0.64900000000000002"/>
  </r>
  <r>
    <x v="3"/>
    <x v="6"/>
    <x v="18"/>
    <n v="0.23499999999999999"/>
  </r>
  <r>
    <x v="3"/>
    <x v="6"/>
    <x v="19"/>
    <n v="0.19400000000000001"/>
  </r>
  <r>
    <x v="3"/>
    <x v="7"/>
    <x v="0"/>
    <n v="0.66900000000000004"/>
  </r>
  <r>
    <x v="3"/>
    <x v="7"/>
    <x v="1"/>
    <n v="0.622"/>
  </r>
  <r>
    <x v="3"/>
    <x v="7"/>
    <x v="2"/>
    <n v="0.627"/>
  </r>
  <r>
    <x v="3"/>
    <x v="7"/>
    <x v="3"/>
    <n v="0.61699999999999999"/>
  </r>
  <r>
    <x v="3"/>
    <x v="7"/>
    <x v="4"/>
    <n v="0.63300000000000001"/>
  </r>
  <r>
    <x v="3"/>
    <x v="7"/>
    <x v="5"/>
    <n v="0.624"/>
  </r>
  <r>
    <x v="3"/>
    <x v="7"/>
    <x v="6"/>
    <n v="0.112"/>
  </r>
  <r>
    <x v="3"/>
    <x v="7"/>
    <x v="7"/>
    <n v="0.66500000000000004"/>
  </r>
  <r>
    <x v="3"/>
    <x v="7"/>
    <x v="8"/>
    <n v="0.626"/>
  </r>
  <r>
    <x v="3"/>
    <x v="7"/>
    <x v="9"/>
    <n v="0.66600000000000004"/>
  </r>
  <r>
    <x v="3"/>
    <x v="7"/>
    <x v="10"/>
    <n v="0.65400000000000003"/>
  </r>
  <r>
    <x v="3"/>
    <x v="7"/>
    <x v="11"/>
    <n v="0.129"/>
  </r>
  <r>
    <x v="3"/>
    <x v="7"/>
    <x v="12"/>
    <n v="0.68"/>
  </r>
  <r>
    <x v="3"/>
    <x v="7"/>
    <x v="13"/>
    <n v="9.4E-2"/>
  </r>
  <r>
    <x v="3"/>
    <x v="7"/>
    <x v="14"/>
    <n v="0.107"/>
  </r>
  <r>
    <x v="3"/>
    <x v="7"/>
    <x v="15"/>
    <n v="0.21099999999999999"/>
  </r>
  <r>
    <x v="3"/>
    <x v="7"/>
    <x v="16"/>
    <n v="0.64300000000000002"/>
  </r>
  <r>
    <x v="3"/>
    <x v="7"/>
    <x v="17"/>
    <n v="0.65900000000000003"/>
  </r>
  <r>
    <x v="3"/>
    <x v="7"/>
    <x v="18"/>
    <n v="0.214"/>
  </r>
  <r>
    <x v="3"/>
    <x v="7"/>
    <x v="19"/>
    <n v="0.18099999999999999"/>
  </r>
  <r>
    <x v="3"/>
    <x v="8"/>
    <x v="0"/>
    <n v="0.65900000000000003"/>
  </r>
  <r>
    <x v="3"/>
    <x v="8"/>
    <x v="1"/>
    <n v="0.61899999999999999"/>
  </r>
  <r>
    <x v="3"/>
    <x v="8"/>
    <x v="2"/>
    <n v="0.622"/>
  </r>
  <r>
    <x v="3"/>
    <x v="8"/>
    <x v="3"/>
    <n v="0.61399999999999999"/>
  </r>
  <r>
    <x v="3"/>
    <x v="8"/>
    <x v="4"/>
    <n v="0.627"/>
  </r>
  <r>
    <x v="3"/>
    <x v="8"/>
    <x v="5"/>
    <n v="0.623"/>
  </r>
  <r>
    <x v="3"/>
    <x v="8"/>
    <x v="6"/>
    <n v="8.8999999999999996E-2"/>
  </r>
  <r>
    <x v="3"/>
    <x v="8"/>
    <x v="7"/>
    <n v="0.65500000000000003"/>
  </r>
  <r>
    <x v="3"/>
    <x v="8"/>
    <x v="8"/>
    <n v="0.622"/>
  </r>
  <r>
    <x v="3"/>
    <x v="8"/>
    <x v="9"/>
    <n v="0.65600000000000003"/>
  </r>
  <r>
    <x v="3"/>
    <x v="8"/>
    <x v="10"/>
    <n v="0.64500000000000002"/>
  </r>
  <r>
    <x v="3"/>
    <x v="8"/>
    <x v="11"/>
    <n v="0.14299999999999999"/>
  </r>
  <r>
    <x v="3"/>
    <x v="8"/>
    <x v="12"/>
    <n v="0.66900000000000004"/>
  </r>
  <r>
    <x v="3"/>
    <x v="8"/>
    <x v="13"/>
    <n v="9.5000000000000001E-2"/>
  </r>
  <r>
    <x v="3"/>
    <x v="8"/>
    <x v="14"/>
    <n v="9.7000000000000003E-2"/>
  </r>
  <r>
    <x v="3"/>
    <x v="8"/>
    <x v="15"/>
    <n v="0.23"/>
  </r>
  <r>
    <x v="3"/>
    <x v="8"/>
    <x v="16"/>
    <n v="0.63400000000000001"/>
  </r>
  <r>
    <x v="3"/>
    <x v="8"/>
    <x v="17"/>
    <n v="0.64900000000000002"/>
  </r>
  <r>
    <x v="3"/>
    <x v="8"/>
    <x v="18"/>
    <n v="0.23599999999999999"/>
  </r>
  <r>
    <x v="3"/>
    <x v="8"/>
    <x v="19"/>
    <n v="0.19500000000000001"/>
  </r>
  <r>
    <x v="3"/>
    <x v="9"/>
    <x v="0"/>
    <n v="0.67800000000000005"/>
  </r>
  <r>
    <x v="3"/>
    <x v="9"/>
    <x v="1"/>
    <n v="0.625"/>
  </r>
  <r>
    <x v="3"/>
    <x v="9"/>
    <x v="2"/>
    <n v="0.63200000000000001"/>
  </r>
  <r>
    <x v="3"/>
    <x v="9"/>
    <x v="3"/>
    <n v="0.62"/>
  </r>
  <r>
    <x v="3"/>
    <x v="9"/>
    <x v="4"/>
    <n v="0.63900000000000001"/>
  </r>
  <r>
    <x v="3"/>
    <x v="9"/>
    <x v="5"/>
    <n v="0.626"/>
  </r>
  <r>
    <x v="3"/>
    <x v="9"/>
    <x v="6"/>
    <n v="0.13100000000000001"/>
  </r>
  <r>
    <x v="3"/>
    <x v="9"/>
    <x v="7"/>
    <n v="0.67500000000000004"/>
  </r>
  <r>
    <x v="3"/>
    <x v="9"/>
    <x v="8"/>
    <n v="0.63100000000000001"/>
  </r>
  <r>
    <x v="3"/>
    <x v="9"/>
    <x v="9"/>
    <n v="0.67600000000000005"/>
  </r>
  <r>
    <x v="3"/>
    <x v="9"/>
    <x v="10"/>
    <n v="0.66200000000000003"/>
  </r>
  <r>
    <x v="3"/>
    <x v="9"/>
    <x v="11"/>
    <n v="0.12"/>
  </r>
  <r>
    <x v="3"/>
    <x v="9"/>
    <x v="12"/>
    <n v="0.68899999999999995"/>
  </r>
  <r>
    <x v="3"/>
    <x v="9"/>
    <x v="13"/>
    <n v="9.6000000000000002E-2"/>
  </r>
  <r>
    <x v="3"/>
    <x v="9"/>
    <x v="14"/>
    <n v="0.11600000000000001"/>
  </r>
  <r>
    <x v="3"/>
    <x v="9"/>
    <x v="15"/>
    <n v="0.19400000000000001"/>
  </r>
  <r>
    <x v="3"/>
    <x v="9"/>
    <x v="16"/>
    <n v="0.65"/>
  </r>
  <r>
    <x v="3"/>
    <x v="9"/>
    <x v="17"/>
    <n v="0.66900000000000004"/>
  </r>
  <r>
    <x v="3"/>
    <x v="9"/>
    <x v="18"/>
    <n v="0.19600000000000001"/>
  </r>
  <r>
    <x v="3"/>
    <x v="9"/>
    <x v="19"/>
    <n v="0.17"/>
  </r>
  <r>
    <x v="3"/>
    <x v="10"/>
    <x v="0"/>
    <n v="0.69599999999999995"/>
  </r>
  <r>
    <x v="3"/>
    <x v="10"/>
    <x v="1"/>
    <n v="0.63200000000000001"/>
  </r>
  <r>
    <x v="3"/>
    <x v="10"/>
    <x v="2"/>
    <n v="0.64100000000000001"/>
  </r>
  <r>
    <x v="3"/>
    <x v="10"/>
    <x v="3"/>
    <n v="0.627"/>
  </r>
  <r>
    <x v="3"/>
    <x v="10"/>
    <x v="4"/>
    <n v="0.65300000000000002"/>
  </r>
  <r>
    <x v="3"/>
    <x v="10"/>
    <x v="5"/>
    <n v="0.627"/>
  </r>
  <r>
    <x v="3"/>
    <x v="10"/>
    <x v="6"/>
    <n v="0.17399999999999999"/>
  </r>
  <r>
    <x v="3"/>
    <x v="10"/>
    <x v="7"/>
    <n v="0.69499999999999995"/>
  </r>
  <r>
    <x v="3"/>
    <x v="10"/>
    <x v="8"/>
    <n v="0.63700000000000001"/>
  </r>
  <r>
    <x v="3"/>
    <x v="10"/>
    <x v="9"/>
    <n v="0.69599999999999995"/>
  </r>
  <r>
    <x v="3"/>
    <x v="10"/>
    <x v="10"/>
    <n v="0.67800000000000005"/>
  </r>
  <r>
    <x v="3"/>
    <x v="10"/>
    <x v="11"/>
    <n v="0.105"/>
  </r>
  <r>
    <x v="3"/>
    <x v="10"/>
    <x v="12"/>
    <n v="0.71"/>
  </r>
  <r>
    <x v="3"/>
    <x v="10"/>
    <x v="13"/>
    <n v="7.0999999999999994E-2"/>
  </r>
  <r>
    <x v="3"/>
    <x v="10"/>
    <x v="14"/>
    <n v="0.20699999999999999"/>
  </r>
  <r>
    <x v="3"/>
    <x v="10"/>
    <x v="15"/>
    <n v="0.157"/>
  </r>
  <r>
    <x v="3"/>
    <x v="10"/>
    <x v="16"/>
    <n v="0.66500000000000004"/>
  </r>
  <r>
    <x v="3"/>
    <x v="10"/>
    <x v="17"/>
    <n v="0.68799999999999994"/>
  </r>
  <r>
    <x v="3"/>
    <x v="10"/>
    <x v="18"/>
    <n v="0.16300000000000001"/>
  </r>
  <r>
    <x v="3"/>
    <x v="10"/>
    <x v="19"/>
    <n v="0.13"/>
  </r>
  <r>
    <x v="3"/>
    <x v="11"/>
    <x v="0"/>
    <n v="0.67400000000000004"/>
  </r>
  <r>
    <x v="3"/>
    <x v="11"/>
    <x v="1"/>
    <n v="0.624"/>
  </r>
  <r>
    <x v="3"/>
    <x v="11"/>
    <x v="2"/>
    <n v="0.629"/>
  </r>
  <r>
    <x v="3"/>
    <x v="11"/>
    <x v="3"/>
    <n v="0.62"/>
  </r>
  <r>
    <x v="3"/>
    <x v="11"/>
    <x v="4"/>
    <n v="0.63800000000000001"/>
  </r>
  <r>
    <x v="3"/>
    <x v="11"/>
    <x v="5"/>
    <n v="0.623"/>
  </r>
  <r>
    <x v="3"/>
    <x v="11"/>
    <x v="6"/>
    <n v="0.13600000000000001"/>
  </r>
  <r>
    <x v="3"/>
    <x v="11"/>
    <x v="7"/>
    <n v="0.67300000000000004"/>
  </r>
  <r>
    <x v="3"/>
    <x v="11"/>
    <x v="8"/>
    <n v="0.627"/>
  </r>
  <r>
    <x v="3"/>
    <x v="11"/>
    <x v="9"/>
    <n v="0.67300000000000004"/>
  </r>
  <r>
    <x v="3"/>
    <x v="11"/>
    <x v="10"/>
    <n v="0.65800000000000003"/>
  </r>
  <r>
    <x v="3"/>
    <x v="11"/>
    <x v="11"/>
    <n v="0.13700000000000001"/>
  </r>
  <r>
    <x v="3"/>
    <x v="11"/>
    <x v="12"/>
    <n v="0.68700000000000006"/>
  </r>
  <r>
    <x v="3"/>
    <x v="11"/>
    <x v="13"/>
    <n v="0.10299999999999999"/>
  </r>
  <r>
    <x v="3"/>
    <x v="11"/>
    <x v="14"/>
    <n v="0.11899999999999999"/>
  </r>
  <r>
    <x v="3"/>
    <x v="11"/>
    <x v="15"/>
    <n v="0.20699999999999999"/>
  </r>
  <r>
    <x v="3"/>
    <x v="11"/>
    <x v="16"/>
    <n v="0.64700000000000002"/>
  </r>
  <r>
    <x v="3"/>
    <x v="11"/>
    <x v="17"/>
    <n v="0.66600000000000004"/>
  </r>
  <r>
    <x v="3"/>
    <x v="11"/>
    <x v="18"/>
    <n v="0.21199999999999999"/>
  </r>
  <r>
    <x v="3"/>
    <x v="11"/>
    <x v="19"/>
    <n v="0.17"/>
  </r>
  <r>
    <x v="4"/>
    <x v="0"/>
    <x v="0"/>
    <n v="0.71699999999999997"/>
  </r>
  <r>
    <x v="4"/>
    <x v="0"/>
    <x v="1"/>
    <n v="0.64500000000000002"/>
  </r>
  <r>
    <x v="4"/>
    <x v="0"/>
    <x v="2"/>
    <n v="0.65700000000000003"/>
  </r>
  <r>
    <x v="4"/>
    <x v="0"/>
    <x v="3"/>
    <n v="0.63900000000000001"/>
  </r>
  <r>
    <x v="4"/>
    <x v="0"/>
    <x v="4"/>
    <n v="0.67100000000000004"/>
  </r>
  <r>
    <x v="4"/>
    <x v="0"/>
    <x v="5"/>
    <n v="0.63500000000000001"/>
  </r>
  <r>
    <x v="4"/>
    <x v="0"/>
    <x v="6"/>
    <n v="0.216"/>
  </r>
  <r>
    <x v="4"/>
    <x v="0"/>
    <x v="7"/>
    <n v="0.71299999999999997"/>
  </r>
  <r>
    <x v="4"/>
    <x v="0"/>
    <x v="8"/>
    <n v="0.65100000000000002"/>
  </r>
  <r>
    <x v="4"/>
    <x v="0"/>
    <x v="9"/>
    <n v="0.71699999999999997"/>
  </r>
  <r>
    <x v="4"/>
    <x v="0"/>
    <x v="10"/>
    <n v="0.69799999999999995"/>
  </r>
  <r>
    <x v="4"/>
    <x v="0"/>
    <x v="11"/>
    <n v="6.2E-2"/>
  </r>
  <r>
    <x v="4"/>
    <x v="0"/>
    <x v="12"/>
    <n v="0.73099999999999998"/>
  </r>
  <r>
    <x v="4"/>
    <x v="0"/>
    <x v="13"/>
    <n v="0.112"/>
  </r>
  <r>
    <x v="4"/>
    <x v="0"/>
    <x v="14"/>
    <n v="0.22900000000000001"/>
  </r>
  <r>
    <x v="4"/>
    <x v="0"/>
    <x v="15"/>
    <n v="8.3000000000000004E-2"/>
  </r>
  <r>
    <x v="4"/>
    <x v="0"/>
    <x v="16"/>
    <n v="0.68"/>
  </r>
  <r>
    <x v="4"/>
    <x v="0"/>
    <x v="17"/>
    <n v="0.70599999999999996"/>
  </r>
  <r>
    <x v="4"/>
    <x v="0"/>
    <x v="18"/>
    <n v="0.109"/>
  </r>
  <r>
    <x v="4"/>
    <x v="0"/>
    <x v="19"/>
    <n v="6.0999999999999999E-2"/>
  </r>
  <r>
    <x v="4"/>
    <x v="1"/>
    <x v="0"/>
    <n v="0.71799999999999997"/>
  </r>
  <r>
    <x v="4"/>
    <x v="1"/>
    <x v="1"/>
    <n v="0.64600000000000002"/>
  </r>
  <r>
    <x v="4"/>
    <x v="1"/>
    <x v="2"/>
    <n v="0.65700000000000003"/>
  </r>
  <r>
    <x v="4"/>
    <x v="1"/>
    <x v="3"/>
    <n v="0.64"/>
  </r>
  <r>
    <x v="4"/>
    <x v="1"/>
    <x v="4"/>
    <n v="0.67200000000000004"/>
  </r>
  <r>
    <x v="4"/>
    <x v="1"/>
    <x v="5"/>
    <n v="0.63500000000000001"/>
  </r>
  <r>
    <x v="4"/>
    <x v="1"/>
    <x v="6"/>
    <n v="0.219"/>
  </r>
  <r>
    <x v="4"/>
    <x v="1"/>
    <x v="7"/>
    <n v="0.71499999999999997"/>
  </r>
  <r>
    <x v="4"/>
    <x v="1"/>
    <x v="8"/>
    <n v="0.65200000000000002"/>
  </r>
  <r>
    <x v="4"/>
    <x v="1"/>
    <x v="9"/>
    <n v="0.71799999999999997"/>
  </r>
  <r>
    <x v="4"/>
    <x v="1"/>
    <x v="10"/>
    <n v="0.69899999999999995"/>
  </r>
  <r>
    <x v="4"/>
    <x v="1"/>
    <x v="11"/>
    <n v="6.3E-2"/>
  </r>
  <r>
    <x v="4"/>
    <x v="1"/>
    <x v="12"/>
    <n v="0.73299999999999998"/>
  </r>
  <r>
    <x v="4"/>
    <x v="1"/>
    <x v="13"/>
    <n v="0.115"/>
  </r>
  <r>
    <x v="4"/>
    <x v="1"/>
    <x v="14"/>
    <n v="0.23100000000000001"/>
  </r>
  <r>
    <x v="4"/>
    <x v="1"/>
    <x v="15"/>
    <n v="0.08"/>
  </r>
  <r>
    <x v="4"/>
    <x v="1"/>
    <x v="16"/>
    <n v="0.68100000000000005"/>
  </r>
  <r>
    <x v="4"/>
    <x v="1"/>
    <x v="17"/>
    <n v="0.70799999999999996"/>
  </r>
  <r>
    <x v="4"/>
    <x v="1"/>
    <x v="18"/>
    <n v="0.106"/>
  </r>
  <r>
    <x v="4"/>
    <x v="1"/>
    <x v="19"/>
    <n v="6.2E-2"/>
  </r>
  <r>
    <x v="4"/>
    <x v="2"/>
    <x v="0"/>
    <n v="0.71599999999999997"/>
  </r>
  <r>
    <x v="4"/>
    <x v="2"/>
    <x v="1"/>
    <n v="0.64500000000000002"/>
  </r>
  <r>
    <x v="4"/>
    <x v="2"/>
    <x v="2"/>
    <n v="0.65600000000000003"/>
  </r>
  <r>
    <x v="4"/>
    <x v="2"/>
    <x v="3"/>
    <n v="0.63900000000000001"/>
  </r>
  <r>
    <x v="4"/>
    <x v="2"/>
    <x v="4"/>
    <n v="0.67100000000000004"/>
  </r>
  <r>
    <x v="4"/>
    <x v="2"/>
    <x v="5"/>
    <n v="0.63400000000000001"/>
  </r>
  <r>
    <x v="4"/>
    <x v="2"/>
    <x v="6"/>
    <n v="0.217"/>
  </r>
  <r>
    <x v="4"/>
    <x v="2"/>
    <x v="7"/>
    <n v="0.71299999999999997"/>
  </r>
  <r>
    <x v="4"/>
    <x v="2"/>
    <x v="8"/>
    <n v="0.65"/>
  </r>
  <r>
    <x v="4"/>
    <x v="2"/>
    <x v="9"/>
    <n v="0.71599999999999997"/>
  </r>
  <r>
    <x v="4"/>
    <x v="2"/>
    <x v="10"/>
    <n v="0.69699999999999995"/>
  </r>
  <r>
    <x v="4"/>
    <x v="2"/>
    <x v="11"/>
    <n v="6.4000000000000001E-2"/>
  </r>
  <r>
    <x v="4"/>
    <x v="2"/>
    <x v="12"/>
    <n v="0.73099999999999998"/>
  </r>
  <r>
    <x v="4"/>
    <x v="2"/>
    <x v="13"/>
    <n v="0.112"/>
  </r>
  <r>
    <x v="4"/>
    <x v="2"/>
    <x v="14"/>
    <n v="0.22800000000000001"/>
  </r>
  <r>
    <x v="4"/>
    <x v="2"/>
    <x v="15"/>
    <n v="8.5000000000000006E-2"/>
  </r>
  <r>
    <x v="4"/>
    <x v="2"/>
    <x v="16"/>
    <n v="0.68"/>
  </r>
  <r>
    <x v="4"/>
    <x v="2"/>
    <x v="17"/>
    <n v="0.70599999999999996"/>
  </r>
  <r>
    <x v="4"/>
    <x v="2"/>
    <x v="18"/>
    <n v="0.111"/>
  </r>
  <r>
    <x v="4"/>
    <x v="2"/>
    <x v="19"/>
    <n v="5.8999999999999997E-2"/>
  </r>
  <r>
    <x v="4"/>
    <x v="3"/>
    <x v="0"/>
    <n v="0.71799999999999997"/>
  </r>
  <r>
    <x v="4"/>
    <x v="3"/>
    <x v="1"/>
    <n v="0.64600000000000002"/>
  </r>
  <r>
    <x v="4"/>
    <x v="3"/>
    <x v="2"/>
    <n v="0.65700000000000003"/>
  </r>
  <r>
    <x v="4"/>
    <x v="3"/>
    <x v="3"/>
    <n v="0.64"/>
  </r>
  <r>
    <x v="4"/>
    <x v="3"/>
    <x v="4"/>
    <n v="0.67200000000000004"/>
  </r>
  <r>
    <x v="4"/>
    <x v="3"/>
    <x v="5"/>
    <n v="0.63500000000000001"/>
  </r>
  <r>
    <x v="4"/>
    <x v="3"/>
    <x v="6"/>
    <n v="0.22"/>
  </r>
  <r>
    <x v="4"/>
    <x v="3"/>
    <x v="7"/>
    <n v="0.71399999999999997"/>
  </r>
  <r>
    <x v="4"/>
    <x v="3"/>
    <x v="8"/>
    <n v="0.65100000000000002"/>
  </r>
  <r>
    <x v="4"/>
    <x v="3"/>
    <x v="9"/>
    <n v="0.71799999999999997"/>
  </r>
  <r>
    <x v="4"/>
    <x v="3"/>
    <x v="10"/>
    <n v="0.69899999999999995"/>
  </r>
  <r>
    <x v="4"/>
    <x v="3"/>
    <x v="11"/>
    <n v="6.6000000000000003E-2"/>
  </r>
  <r>
    <x v="4"/>
    <x v="3"/>
    <x v="12"/>
    <n v="0.73299999999999998"/>
  </r>
  <r>
    <x v="4"/>
    <x v="3"/>
    <x v="13"/>
    <n v="0.115"/>
  </r>
  <r>
    <x v="4"/>
    <x v="3"/>
    <x v="14"/>
    <n v="0.23"/>
  </r>
  <r>
    <x v="4"/>
    <x v="3"/>
    <x v="15"/>
    <n v="8.3000000000000004E-2"/>
  </r>
  <r>
    <x v="4"/>
    <x v="3"/>
    <x v="16"/>
    <n v="0.68100000000000005"/>
  </r>
  <r>
    <x v="4"/>
    <x v="3"/>
    <x v="17"/>
    <n v="0.70699999999999996"/>
  </r>
  <r>
    <x v="4"/>
    <x v="3"/>
    <x v="18"/>
    <n v="0.11"/>
  </r>
  <r>
    <x v="4"/>
    <x v="3"/>
    <x v="19"/>
    <n v="5.8000000000000003E-2"/>
  </r>
  <r>
    <x v="4"/>
    <x v="4"/>
    <x v="0"/>
    <n v="0.71799999999999997"/>
  </r>
  <r>
    <x v="4"/>
    <x v="4"/>
    <x v="1"/>
    <n v="0.64600000000000002"/>
  </r>
  <r>
    <x v="4"/>
    <x v="4"/>
    <x v="2"/>
    <n v="0.65800000000000003"/>
  </r>
  <r>
    <x v="4"/>
    <x v="4"/>
    <x v="3"/>
    <n v="0.64"/>
  </r>
  <r>
    <x v="4"/>
    <x v="4"/>
    <x v="4"/>
    <n v="0.67200000000000004"/>
  </r>
  <r>
    <x v="4"/>
    <x v="4"/>
    <x v="5"/>
    <n v="0.63600000000000001"/>
  </r>
  <r>
    <x v="4"/>
    <x v="4"/>
    <x v="6"/>
    <n v="0.216"/>
  </r>
  <r>
    <x v="4"/>
    <x v="4"/>
    <x v="7"/>
    <n v="0.71399999999999997"/>
  </r>
  <r>
    <x v="4"/>
    <x v="4"/>
    <x v="8"/>
    <n v="0.65200000000000002"/>
  </r>
  <r>
    <x v="4"/>
    <x v="4"/>
    <x v="9"/>
    <n v="0.71799999999999997"/>
  </r>
  <r>
    <x v="4"/>
    <x v="4"/>
    <x v="10"/>
    <n v="0.69899999999999995"/>
  </r>
  <r>
    <x v="4"/>
    <x v="4"/>
    <x v="11"/>
    <n v="0.06"/>
  </r>
  <r>
    <x v="4"/>
    <x v="4"/>
    <x v="12"/>
    <n v="0.73299999999999998"/>
  </r>
  <r>
    <x v="4"/>
    <x v="4"/>
    <x v="13"/>
    <n v="0.112"/>
  </r>
  <r>
    <x v="4"/>
    <x v="4"/>
    <x v="14"/>
    <n v="0.22900000000000001"/>
  </r>
  <r>
    <x v="4"/>
    <x v="4"/>
    <x v="15"/>
    <n v="8.1000000000000003E-2"/>
  </r>
  <r>
    <x v="4"/>
    <x v="4"/>
    <x v="16"/>
    <n v="0.68200000000000005"/>
  </r>
  <r>
    <x v="4"/>
    <x v="4"/>
    <x v="17"/>
    <n v="0.70699999999999996"/>
  </r>
  <r>
    <x v="4"/>
    <x v="4"/>
    <x v="18"/>
    <n v="0.107"/>
  </r>
  <r>
    <x v="4"/>
    <x v="4"/>
    <x v="19"/>
    <n v="6.2E-2"/>
  </r>
  <r>
    <x v="4"/>
    <x v="5"/>
    <x v="0"/>
    <n v="0.71499999999999997"/>
  </r>
  <r>
    <x v="4"/>
    <x v="5"/>
    <x v="1"/>
    <n v="0.64400000000000002"/>
  </r>
  <r>
    <x v="4"/>
    <x v="5"/>
    <x v="2"/>
    <n v="0.65600000000000003"/>
  </r>
  <r>
    <x v="4"/>
    <x v="5"/>
    <x v="3"/>
    <n v="0.63800000000000001"/>
  </r>
  <r>
    <x v="4"/>
    <x v="5"/>
    <x v="4"/>
    <n v="0.67"/>
  </r>
  <r>
    <x v="4"/>
    <x v="5"/>
    <x v="5"/>
    <n v="0.63400000000000001"/>
  </r>
  <r>
    <x v="4"/>
    <x v="5"/>
    <x v="6"/>
    <n v="0.214"/>
  </r>
  <r>
    <x v="4"/>
    <x v="5"/>
    <x v="7"/>
    <n v="0.71199999999999997"/>
  </r>
  <r>
    <x v="4"/>
    <x v="5"/>
    <x v="8"/>
    <n v="0.65"/>
  </r>
  <r>
    <x v="4"/>
    <x v="5"/>
    <x v="9"/>
    <n v="0.71499999999999997"/>
  </r>
  <r>
    <x v="4"/>
    <x v="5"/>
    <x v="10"/>
    <n v="0.69699999999999995"/>
  </r>
  <r>
    <x v="4"/>
    <x v="5"/>
    <x v="11"/>
    <n v="0.06"/>
  </r>
  <r>
    <x v="4"/>
    <x v="5"/>
    <x v="12"/>
    <n v="0.73"/>
  </r>
  <r>
    <x v="4"/>
    <x v="5"/>
    <x v="13"/>
    <n v="0.11"/>
  </r>
  <r>
    <x v="4"/>
    <x v="5"/>
    <x v="14"/>
    <n v="0.22700000000000001"/>
  </r>
  <r>
    <x v="4"/>
    <x v="5"/>
    <x v="15"/>
    <n v="8.4000000000000005E-2"/>
  </r>
  <r>
    <x v="4"/>
    <x v="5"/>
    <x v="16"/>
    <n v="0.67900000000000005"/>
  </r>
  <r>
    <x v="4"/>
    <x v="5"/>
    <x v="17"/>
    <n v="0.70499999999999996"/>
  </r>
  <r>
    <x v="4"/>
    <x v="5"/>
    <x v="18"/>
    <n v="0.11"/>
  </r>
  <r>
    <x v="4"/>
    <x v="5"/>
    <x v="19"/>
    <n v="6.2E-2"/>
  </r>
  <r>
    <x v="4"/>
    <x v="6"/>
    <x v="0"/>
    <n v="0.71599999999999997"/>
  </r>
  <r>
    <x v="4"/>
    <x v="6"/>
    <x v="1"/>
    <n v="0.64500000000000002"/>
  </r>
  <r>
    <x v="4"/>
    <x v="6"/>
    <x v="2"/>
    <n v="0.65600000000000003"/>
  </r>
  <r>
    <x v="4"/>
    <x v="6"/>
    <x v="3"/>
    <n v="0.63900000000000001"/>
  </r>
  <r>
    <x v="4"/>
    <x v="6"/>
    <x v="4"/>
    <n v="0.67100000000000004"/>
  </r>
  <r>
    <x v="4"/>
    <x v="6"/>
    <x v="5"/>
    <n v="0.63500000000000001"/>
  </r>
  <r>
    <x v="4"/>
    <x v="6"/>
    <x v="6"/>
    <n v="0.215"/>
  </r>
  <r>
    <x v="4"/>
    <x v="6"/>
    <x v="7"/>
    <n v="0.71299999999999997"/>
  </r>
  <r>
    <x v="4"/>
    <x v="6"/>
    <x v="8"/>
    <n v="0.65100000000000002"/>
  </r>
  <r>
    <x v="4"/>
    <x v="6"/>
    <x v="9"/>
    <n v="0.71599999999999997"/>
  </r>
  <r>
    <x v="4"/>
    <x v="6"/>
    <x v="10"/>
    <n v="0.69699999999999995"/>
  </r>
  <r>
    <x v="4"/>
    <x v="6"/>
    <x v="11"/>
    <n v="6.0999999999999999E-2"/>
  </r>
  <r>
    <x v="4"/>
    <x v="6"/>
    <x v="12"/>
    <n v="0.73099999999999998"/>
  </r>
  <r>
    <x v="4"/>
    <x v="6"/>
    <x v="13"/>
    <n v="0.111"/>
  </r>
  <r>
    <x v="4"/>
    <x v="6"/>
    <x v="14"/>
    <n v="0.22800000000000001"/>
  </r>
  <r>
    <x v="4"/>
    <x v="6"/>
    <x v="15"/>
    <n v="8.3000000000000004E-2"/>
  </r>
  <r>
    <x v="4"/>
    <x v="6"/>
    <x v="16"/>
    <n v="0.68"/>
  </r>
  <r>
    <x v="4"/>
    <x v="6"/>
    <x v="17"/>
    <n v="0.70599999999999996"/>
  </r>
  <r>
    <x v="4"/>
    <x v="6"/>
    <x v="18"/>
    <n v="0.109"/>
  </r>
  <r>
    <x v="4"/>
    <x v="6"/>
    <x v="19"/>
    <n v="6.0999999999999999E-2"/>
  </r>
  <r>
    <x v="4"/>
    <x v="7"/>
    <x v="0"/>
    <n v="0.71799999999999997"/>
  </r>
  <r>
    <x v="4"/>
    <x v="7"/>
    <x v="1"/>
    <n v="0.64600000000000002"/>
  </r>
  <r>
    <x v="4"/>
    <x v="7"/>
    <x v="2"/>
    <n v="0.65700000000000003"/>
  </r>
  <r>
    <x v="4"/>
    <x v="7"/>
    <x v="3"/>
    <n v="0.64"/>
  </r>
  <r>
    <x v="4"/>
    <x v="7"/>
    <x v="4"/>
    <n v="0.67200000000000004"/>
  </r>
  <r>
    <x v="4"/>
    <x v="7"/>
    <x v="5"/>
    <n v="0.63500000000000001"/>
  </r>
  <r>
    <x v="4"/>
    <x v="7"/>
    <x v="6"/>
    <n v="0.22"/>
  </r>
  <r>
    <x v="4"/>
    <x v="7"/>
    <x v="7"/>
    <n v="0.71499999999999997"/>
  </r>
  <r>
    <x v="4"/>
    <x v="7"/>
    <x v="8"/>
    <n v="0.65200000000000002"/>
  </r>
  <r>
    <x v="4"/>
    <x v="7"/>
    <x v="9"/>
    <n v="0.71799999999999997"/>
  </r>
  <r>
    <x v="4"/>
    <x v="7"/>
    <x v="10"/>
    <n v="0.69899999999999995"/>
  </r>
  <r>
    <x v="4"/>
    <x v="7"/>
    <x v="11"/>
    <n v="6.5000000000000002E-2"/>
  </r>
  <r>
    <x v="4"/>
    <x v="7"/>
    <x v="12"/>
    <n v="0.73299999999999998"/>
  </r>
  <r>
    <x v="4"/>
    <x v="7"/>
    <x v="13"/>
    <n v="0.115"/>
  </r>
  <r>
    <x v="4"/>
    <x v="7"/>
    <x v="14"/>
    <n v="0.23100000000000001"/>
  </r>
  <r>
    <x v="4"/>
    <x v="7"/>
    <x v="15"/>
    <n v="8.1000000000000003E-2"/>
  </r>
  <r>
    <x v="4"/>
    <x v="7"/>
    <x v="16"/>
    <n v="0.68100000000000005"/>
  </r>
  <r>
    <x v="4"/>
    <x v="7"/>
    <x v="17"/>
    <n v="0.70799999999999996"/>
  </r>
  <r>
    <x v="4"/>
    <x v="7"/>
    <x v="18"/>
    <n v="0.108"/>
  </r>
  <r>
    <x v="4"/>
    <x v="7"/>
    <x v="19"/>
    <n v="0.06"/>
  </r>
  <r>
    <x v="4"/>
    <x v="8"/>
    <x v="0"/>
    <n v="0.71699999999999997"/>
  </r>
  <r>
    <x v="4"/>
    <x v="8"/>
    <x v="1"/>
    <n v="0.64500000000000002"/>
  </r>
  <r>
    <x v="4"/>
    <x v="8"/>
    <x v="2"/>
    <n v="0.65700000000000003"/>
  </r>
  <r>
    <x v="4"/>
    <x v="8"/>
    <x v="3"/>
    <n v="0.63900000000000001"/>
  </r>
  <r>
    <x v="4"/>
    <x v="8"/>
    <x v="4"/>
    <n v="0.67100000000000004"/>
  </r>
  <r>
    <x v="4"/>
    <x v="8"/>
    <x v="5"/>
    <n v="0.63500000000000001"/>
  </r>
  <r>
    <x v="4"/>
    <x v="8"/>
    <x v="6"/>
    <n v="0.217"/>
  </r>
  <r>
    <x v="4"/>
    <x v="8"/>
    <x v="7"/>
    <n v="0.71299999999999997"/>
  </r>
  <r>
    <x v="4"/>
    <x v="8"/>
    <x v="8"/>
    <n v="0.65100000000000002"/>
  </r>
  <r>
    <x v="4"/>
    <x v="8"/>
    <x v="9"/>
    <n v="0.71699999999999997"/>
  </r>
  <r>
    <x v="4"/>
    <x v="8"/>
    <x v="10"/>
    <n v="0.69799999999999995"/>
  </r>
  <r>
    <x v="4"/>
    <x v="8"/>
    <x v="11"/>
    <n v="6.3E-2"/>
  </r>
  <r>
    <x v="4"/>
    <x v="8"/>
    <x v="12"/>
    <n v="0.73199999999999998"/>
  </r>
  <r>
    <x v="4"/>
    <x v="8"/>
    <x v="13"/>
    <n v="0.112"/>
  </r>
  <r>
    <x v="4"/>
    <x v="8"/>
    <x v="14"/>
    <n v="0.22900000000000001"/>
  </r>
  <r>
    <x v="4"/>
    <x v="8"/>
    <x v="15"/>
    <n v="8.3000000000000004E-2"/>
  </r>
  <r>
    <x v="4"/>
    <x v="8"/>
    <x v="16"/>
    <n v="0.68"/>
  </r>
  <r>
    <x v="4"/>
    <x v="8"/>
    <x v="17"/>
    <n v="0.70599999999999996"/>
  </r>
  <r>
    <x v="4"/>
    <x v="8"/>
    <x v="18"/>
    <n v="0.109"/>
  </r>
  <r>
    <x v="4"/>
    <x v="8"/>
    <x v="19"/>
    <n v="0.06"/>
  </r>
  <r>
    <x v="4"/>
    <x v="9"/>
    <x v="0"/>
    <n v="0.71499999999999997"/>
  </r>
  <r>
    <x v="4"/>
    <x v="9"/>
    <x v="1"/>
    <n v="0.64400000000000002"/>
  </r>
  <r>
    <x v="4"/>
    <x v="9"/>
    <x v="2"/>
    <n v="0.65500000000000003"/>
  </r>
  <r>
    <x v="4"/>
    <x v="9"/>
    <x v="3"/>
    <n v="0.63800000000000001"/>
  </r>
  <r>
    <x v="4"/>
    <x v="9"/>
    <x v="4"/>
    <n v="0.67"/>
  </r>
  <r>
    <x v="4"/>
    <x v="9"/>
    <x v="5"/>
    <n v="0.63400000000000001"/>
  </r>
  <r>
    <x v="4"/>
    <x v="9"/>
    <x v="6"/>
    <n v="0.21299999999999999"/>
  </r>
  <r>
    <x v="4"/>
    <x v="9"/>
    <x v="7"/>
    <n v="0.71199999999999997"/>
  </r>
  <r>
    <x v="4"/>
    <x v="9"/>
    <x v="8"/>
    <n v="0.65"/>
  </r>
  <r>
    <x v="4"/>
    <x v="9"/>
    <x v="9"/>
    <n v="0.71499999999999997"/>
  </r>
  <r>
    <x v="4"/>
    <x v="9"/>
    <x v="10"/>
    <n v="0.69599999999999995"/>
  </r>
  <r>
    <x v="4"/>
    <x v="9"/>
    <x v="11"/>
    <n v="0.06"/>
  </r>
  <r>
    <x v="4"/>
    <x v="9"/>
    <x v="12"/>
    <n v="0.73"/>
  </r>
  <r>
    <x v="4"/>
    <x v="9"/>
    <x v="13"/>
    <n v="0.109"/>
  </r>
  <r>
    <x v="4"/>
    <x v="9"/>
    <x v="14"/>
    <n v="0.22600000000000001"/>
  </r>
  <r>
    <x v="4"/>
    <x v="9"/>
    <x v="15"/>
    <n v="8.5000000000000006E-2"/>
  </r>
  <r>
    <x v="4"/>
    <x v="9"/>
    <x v="16"/>
    <n v="0.67900000000000005"/>
  </r>
  <r>
    <x v="4"/>
    <x v="9"/>
    <x v="17"/>
    <n v="0.70499999999999996"/>
  </r>
  <r>
    <x v="4"/>
    <x v="9"/>
    <x v="18"/>
    <n v="0.111"/>
  </r>
  <r>
    <x v="4"/>
    <x v="9"/>
    <x v="19"/>
    <n v="6.0999999999999999E-2"/>
  </r>
  <r>
    <x v="5"/>
    <x v="0"/>
    <x v="0"/>
    <n v="0.65"/>
  </r>
  <r>
    <x v="5"/>
    <x v="0"/>
    <x v="1"/>
    <n v="0.60399999999999998"/>
  </r>
  <r>
    <x v="5"/>
    <x v="0"/>
    <x v="2"/>
    <n v="0.60799999999999998"/>
  </r>
  <r>
    <x v="5"/>
    <x v="0"/>
    <x v="3"/>
    <n v="0.6"/>
  </r>
  <r>
    <x v="5"/>
    <x v="0"/>
    <x v="4"/>
    <n v="0.61699999999999999"/>
  </r>
  <r>
    <x v="5"/>
    <x v="0"/>
    <x v="5"/>
    <n v="0.60299999999999998"/>
  </r>
  <r>
    <x v="5"/>
    <x v="0"/>
    <x v="6"/>
    <n v="0.123"/>
  </r>
  <r>
    <x v="5"/>
    <x v="0"/>
    <x v="7"/>
    <n v="0.42699999999999999"/>
  </r>
  <r>
    <x v="5"/>
    <x v="0"/>
    <x v="8"/>
    <n v="0.60399999999999998"/>
  </r>
  <r>
    <x v="5"/>
    <x v="0"/>
    <x v="9"/>
    <n v="0.436"/>
  </r>
  <r>
    <x v="5"/>
    <x v="0"/>
    <x v="10"/>
    <n v="0.63400000000000001"/>
  </r>
  <r>
    <x v="5"/>
    <x v="0"/>
    <x v="11"/>
    <n v="0.129"/>
  </r>
  <r>
    <x v="5"/>
    <x v="0"/>
    <x v="12"/>
    <n v="0.66500000000000004"/>
  </r>
  <r>
    <x v="5"/>
    <x v="0"/>
    <x v="13"/>
    <n v="5.3999999999999999E-2"/>
  </r>
  <r>
    <x v="5"/>
    <x v="0"/>
    <x v="14"/>
    <n v="0.153"/>
  </r>
  <r>
    <x v="5"/>
    <x v="0"/>
    <x v="15"/>
    <n v="0.21099999999999999"/>
  </r>
  <r>
    <x v="5"/>
    <x v="0"/>
    <x v="16"/>
    <n v="0.41099999999999998"/>
  </r>
  <r>
    <x v="5"/>
    <x v="0"/>
    <x v="17"/>
    <n v="0.42699999999999999"/>
  </r>
  <r>
    <x v="5"/>
    <x v="0"/>
    <x v="18"/>
    <n v="0.224"/>
  </r>
  <r>
    <x v="5"/>
    <x v="0"/>
    <x v="19"/>
    <n v="0.158"/>
  </r>
  <r>
    <x v="5"/>
    <x v="1"/>
    <x v="0"/>
    <n v="0.65400000000000003"/>
  </r>
  <r>
    <x v="5"/>
    <x v="1"/>
    <x v="1"/>
    <n v="0.60499999999999998"/>
  </r>
  <r>
    <x v="5"/>
    <x v="1"/>
    <x v="2"/>
    <n v="0.60899999999999999"/>
  </r>
  <r>
    <x v="5"/>
    <x v="1"/>
    <x v="3"/>
    <n v="0.60099999999999998"/>
  </r>
  <r>
    <x v="5"/>
    <x v="1"/>
    <x v="4"/>
    <n v="0.61899999999999999"/>
  </r>
  <r>
    <x v="5"/>
    <x v="1"/>
    <x v="5"/>
    <n v="0.60299999999999998"/>
  </r>
  <r>
    <x v="5"/>
    <x v="1"/>
    <x v="6"/>
    <n v="0.129"/>
  </r>
  <r>
    <x v="5"/>
    <x v="1"/>
    <x v="7"/>
    <n v="0.432"/>
  </r>
  <r>
    <x v="5"/>
    <x v="1"/>
    <x v="8"/>
    <n v="0.60499999999999998"/>
  </r>
  <r>
    <x v="5"/>
    <x v="1"/>
    <x v="9"/>
    <n v="0.65200000000000002"/>
  </r>
  <r>
    <x v="5"/>
    <x v="1"/>
    <x v="10"/>
    <n v="0.63700000000000001"/>
  </r>
  <r>
    <x v="5"/>
    <x v="1"/>
    <x v="11"/>
    <n v="0.121"/>
  </r>
  <r>
    <x v="5"/>
    <x v="1"/>
    <x v="12"/>
    <n v="0.66900000000000004"/>
  </r>
  <r>
    <x v="5"/>
    <x v="1"/>
    <x v="13"/>
    <n v="5.1999999999999998E-2"/>
  </r>
  <r>
    <x v="5"/>
    <x v="1"/>
    <x v="14"/>
    <n v="0.158"/>
  </r>
  <r>
    <x v="5"/>
    <x v="1"/>
    <x v="15"/>
    <n v="0.20100000000000001"/>
  </r>
  <r>
    <x v="5"/>
    <x v="1"/>
    <x v="16"/>
    <n v="0.41499999999999998"/>
  </r>
  <r>
    <x v="5"/>
    <x v="1"/>
    <x v="17"/>
    <n v="0.43099999999999999"/>
  </r>
  <r>
    <x v="5"/>
    <x v="1"/>
    <x v="18"/>
    <n v="0.215"/>
  </r>
  <r>
    <x v="5"/>
    <x v="1"/>
    <x v="19"/>
    <n v="0.14899999999999999"/>
  </r>
  <r>
    <x v="5"/>
    <x v="2"/>
    <x v="0"/>
    <n v="0.436"/>
  </r>
  <r>
    <x v="5"/>
    <x v="2"/>
    <x v="1"/>
    <n v="0.60399999999999998"/>
  </r>
  <r>
    <x v="5"/>
    <x v="2"/>
    <x v="2"/>
    <n v="0.60699999999999998"/>
  </r>
  <r>
    <x v="5"/>
    <x v="2"/>
    <x v="3"/>
    <n v="0.6"/>
  </r>
  <r>
    <x v="5"/>
    <x v="2"/>
    <x v="4"/>
    <n v="0.61599999999999999"/>
  </r>
  <r>
    <x v="5"/>
    <x v="2"/>
    <x v="5"/>
    <n v="0.60199999999999998"/>
  </r>
  <r>
    <x v="5"/>
    <x v="2"/>
    <x v="6"/>
    <n v="0.123"/>
  </r>
  <r>
    <x v="5"/>
    <x v="2"/>
    <x v="7"/>
    <n v="0.42399999999999999"/>
  </r>
  <r>
    <x v="5"/>
    <x v="2"/>
    <x v="8"/>
    <n v="0.60299999999999998"/>
  </r>
  <r>
    <x v="5"/>
    <x v="2"/>
    <x v="9"/>
    <n v="0.432"/>
  </r>
  <r>
    <x v="5"/>
    <x v="2"/>
    <x v="10"/>
    <n v="0.63300000000000001"/>
  </r>
  <r>
    <x v="5"/>
    <x v="2"/>
    <x v="11"/>
    <n v="0.13300000000000001"/>
  </r>
  <r>
    <x v="5"/>
    <x v="2"/>
    <x v="12"/>
    <n v="0.44900000000000001"/>
  </r>
  <r>
    <x v="5"/>
    <x v="2"/>
    <x v="13"/>
    <n v="5.7000000000000002E-2"/>
  </r>
  <r>
    <x v="5"/>
    <x v="2"/>
    <x v="14"/>
    <n v="0.152"/>
  </r>
  <r>
    <x v="5"/>
    <x v="2"/>
    <x v="15"/>
    <n v="0.214"/>
  </r>
  <r>
    <x v="5"/>
    <x v="2"/>
    <x v="16"/>
    <n v="0.40799999999999997"/>
  </r>
  <r>
    <x v="5"/>
    <x v="2"/>
    <x v="17"/>
    <n v="0.42299999999999999"/>
  </r>
  <r>
    <x v="5"/>
    <x v="2"/>
    <x v="18"/>
    <n v="0.22800000000000001"/>
  </r>
  <r>
    <x v="5"/>
    <x v="2"/>
    <x v="19"/>
    <n v="0.161"/>
  </r>
  <r>
    <x v="5"/>
    <x v="3"/>
    <x v="0"/>
    <n v="0.65400000000000003"/>
  </r>
  <r>
    <x v="5"/>
    <x v="3"/>
    <x v="1"/>
    <n v="0.60499999999999998"/>
  </r>
  <r>
    <x v="5"/>
    <x v="3"/>
    <x v="2"/>
    <n v="0.60899999999999999"/>
  </r>
  <r>
    <x v="5"/>
    <x v="3"/>
    <x v="3"/>
    <n v="0.6"/>
  </r>
  <r>
    <x v="5"/>
    <x v="3"/>
    <x v="4"/>
    <n v="0.61899999999999999"/>
  </r>
  <r>
    <x v="5"/>
    <x v="3"/>
    <x v="5"/>
    <n v="0.60299999999999998"/>
  </r>
  <r>
    <x v="5"/>
    <x v="3"/>
    <x v="6"/>
    <n v="0.13"/>
  </r>
  <r>
    <x v="5"/>
    <x v="3"/>
    <x v="7"/>
    <n v="0.433"/>
  </r>
  <r>
    <x v="5"/>
    <x v="3"/>
    <x v="8"/>
    <n v="0.60599999999999998"/>
  </r>
  <r>
    <x v="5"/>
    <x v="3"/>
    <x v="9"/>
    <n v="0.65200000000000002"/>
  </r>
  <r>
    <x v="5"/>
    <x v="3"/>
    <x v="10"/>
    <n v="0.63800000000000001"/>
  </r>
  <r>
    <x v="5"/>
    <x v="3"/>
    <x v="11"/>
    <n v="0.11899999999999999"/>
  </r>
  <r>
    <x v="5"/>
    <x v="3"/>
    <x v="12"/>
    <n v="0.66900000000000004"/>
  </r>
  <r>
    <x v="5"/>
    <x v="3"/>
    <x v="13"/>
    <n v="5.5E-2"/>
  </r>
  <r>
    <x v="5"/>
    <x v="3"/>
    <x v="14"/>
    <n v="0.16"/>
  </r>
  <r>
    <x v="5"/>
    <x v="3"/>
    <x v="15"/>
    <n v="0.2"/>
  </r>
  <r>
    <x v="5"/>
    <x v="3"/>
    <x v="16"/>
    <n v="0.624"/>
  </r>
  <r>
    <x v="5"/>
    <x v="3"/>
    <x v="17"/>
    <n v="0.64400000000000002"/>
  </r>
  <r>
    <x v="5"/>
    <x v="3"/>
    <x v="18"/>
    <n v="0.21299999999999999"/>
  </r>
  <r>
    <x v="5"/>
    <x v="3"/>
    <x v="19"/>
    <n v="0.152"/>
  </r>
  <r>
    <x v="5"/>
    <x v="4"/>
    <x v="0"/>
    <n v="0.65100000000000002"/>
  </r>
  <r>
    <x v="5"/>
    <x v="4"/>
    <x v="1"/>
    <n v="0.60399999999999998"/>
  </r>
  <r>
    <x v="5"/>
    <x v="4"/>
    <x v="2"/>
    <n v="0.60799999999999998"/>
  </r>
  <r>
    <x v="5"/>
    <x v="4"/>
    <x v="3"/>
    <n v="0.6"/>
  </r>
  <r>
    <x v="5"/>
    <x v="4"/>
    <x v="4"/>
    <n v="0.61699999999999999"/>
  </r>
  <r>
    <x v="5"/>
    <x v="4"/>
    <x v="5"/>
    <n v="0.60299999999999998"/>
  </r>
  <r>
    <x v="5"/>
    <x v="4"/>
    <x v="6"/>
    <n v="0.125"/>
  </r>
  <r>
    <x v="5"/>
    <x v="4"/>
    <x v="7"/>
    <n v="0.42699999999999999"/>
  </r>
  <r>
    <x v="5"/>
    <x v="4"/>
    <x v="8"/>
    <n v="0.60399999999999998"/>
  </r>
  <r>
    <x v="5"/>
    <x v="4"/>
    <x v="9"/>
    <n v="0.436"/>
  </r>
  <r>
    <x v="5"/>
    <x v="4"/>
    <x v="10"/>
    <n v="0.63500000000000001"/>
  </r>
  <r>
    <x v="5"/>
    <x v="4"/>
    <x v="11"/>
    <n v="0.128"/>
  </r>
  <r>
    <x v="5"/>
    <x v="4"/>
    <x v="12"/>
    <n v="0.45200000000000001"/>
  </r>
  <r>
    <x v="5"/>
    <x v="4"/>
    <x v="13"/>
    <n v="5.6000000000000001E-2"/>
  </r>
  <r>
    <x v="5"/>
    <x v="4"/>
    <x v="14"/>
    <n v="0.154"/>
  </r>
  <r>
    <x v="5"/>
    <x v="4"/>
    <x v="15"/>
    <n v="0.20899999999999999"/>
  </r>
  <r>
    <x v="5"/>
    <x v="4"/>
    <x v="16"/>
    <n v="0.41099999999999998"/>
  </r>
  <r>
    <x v="5"/>
    <x v="4"/>
    <x v="17"/>
    <n v="0.42699999999999999"/>
  </r>
  <r>
    <x v="5"/>
    <x v="4"/>
    <x v="18"/>
    <n v="0.222"/>
  </r>
  <r>
    <x v="5"/>
    <x v="4"/>
    <x v="19"/>
    <n v="0.157"/>
  </r>
  <r>
    <x v="5"/>
    <x v="5"/>
    <x v="0"/>
    <n v="0.65300000000000002"/>
  </r>
  <r>
    <x v="5"/>
    <x v="5"/>
    <x v="1"/>
    <n v="0.60499999999999998"/>
  </r>
  <r>
    <x v="5"/>
    <x v="5"/>
    <x v="2"/>
    <n v="0.60899999999999999"/>
  </r>
  <r>
    <x v="5"/>
    <x v="5"/>
    <x v="3"/>
    <n v="0.6"/>
  </r>
  <r>
    <x v="5"/>
    <x v="5"/>
    <x v="4"/>
    <n v="0.61799999999999999"/>
  </r>
  <r>
    <x v="5"/>
    <x v="5"/>
    <x v="5"/>
    <n v="0.60299999999999998"/>
  </r>
  <r>
    <x v="5"/>
    <x v="5"/>
    <x v="6"/>
    <n v="0.128"/>
  </r>
  <r>
    <x v="5"/>
    <x v="5"/>
    <x v="7"/>
    <n v="0.43099999999999999"/>
  </r>
  <r>
    <x v="5"/>
    <x v="5"/>
    <x v="8"/>
    <n v="0.60499999999999998"/>
  </r>
  <r>
    <x v="5"/>
    <x v="5"/>
    <x v="9"/>
    <n v="0.65100000000000002"/>
  </r>
  <r>
    <x v="5"/>
    <x v="5"/>
    <x v="10"/>
    <n v="0.63600000000000001"/>
  </r>
  <r>
    <x v="5"/>
    <x v="5"/>
    <x v="11"/>
    <n v="0.126"/>
  </r>
  <r>
    <x v="5"/>
    <x v="5"/>
    <x v="12"/>
    <n v="0.66800000000000004"/>
  </r>
  <r>
    <x v="5"/>
    <x v="5"/>
    <x v="13"/>
    <n v="8.5999999999999993E-2"/>
  </r>
  <r>
    <x v="5"/>
    <x v="5"/>
    <x v="14"/>
    <n v="0.159"/>
  </r>
  <r>
    <x v="5"/>
    <x v="5"/>
    <x v="15"/>
    <n v="0.20599999999999999"/>
  </r>
  <r>
    <x v="5"/>
    <x v="5"/>
    <x v="16"/>
    <n v="0.41399999999999998"/>
  </r>
  <r>
    <x v="5"/>
    <x v="5"/>
    <x v="17"/>
    <n v="0.43"/>
  </r>
  <r>
    <x v="5"/>
    <x v="5"/>
    <x v="18"/>
    <n v="0.22"/>
  </r>
  <r>
    <x v="5"/>
    <x v="5"/>
    <x v="19"/>
    <n v="0.157"/>
  </r>
  <r>
    <x v="5"/>
    <x v="6"/>
    <x v="0"/>
    <n v="0.65300000000000002"/>
  </r>
  <r>
    <x v="5"/>
    <x v="6"/>
    <x v="1"/>
    <n v="0.60499999999999998"/>
  </r>
  <r>
    <x v="5"/>
    <x v="6"/>
    <x v="2"/>
    <n v="0.60899999999999999"/>
  </r>
  <r>
    <x v="5"/>
    <x v="6"/>
    <x v="3"/>
    <n v="0.6"/>
  </r>
  <r>
    <x v="5"/>
    <x v="6"/>
    <x v="4"/>
    <n v="0.61799999999999999"/>
  </r>
  <r>
    <x v="5"/>
    <x v="6"/>
    <x v="5"/>
    <n v="0.60299999999999998"/>
  </r>
  <r>
    <x v="5"/>
    <x v="6"/>
    <x v="6"/>
    <n v="0.128"/>
  </r>
  <r>
    <x v="5"/>
    <x v="6"/>
    <x v="7"/>
    <n v="0.43"/>
  </r>
  <r>
    <x v="5"/>
    <x v="6"/>
    <x v="8"/>
    <n v="0.60499999999999998"/>
  </r>
  <r>
    <x v="5"/>
    <x v="6"/>
    <x v="9"/>
    <n v="0.65100000000000002"/>
  </r>
  <r>
    <x v="5"/>
    <x v="6"/>
    <x v="10"/>
    <n v="0.63700000000000001"/>
  </r>
  <r>
    <x v="5"/>
    <x v="6"/>
    <x v="11"/>
    <n v="0.123"/>
  </r>
  <r>
    <x v="5"/>
    <x v="6"/>
    <x v="12"/>
    <n v="0.66800000000000004"/>
  </r>
  <r>
    <x v="5"/>
    <x v="6"/>
    <x v="13"/>
    <n v="8.3000000000000004E-2"/>
  </r>
  <r>
    <x v="5"/>
    <x v="6"/>
    <x v="14"/>
    <n v="0.157"/>
  </r>
  <r>
    <x v="5"/>
    <x v="6"/>
    <x v="15"/>
    <n v="0.20399999999999999"/>
  </r>
  <r>
    <x v="5"/>
    <x v="6"/>
    <x v="16"/>
    <n v="0.41399999999999998"/>
  </r>
  <r>
    <x v="5"/>
    <x v="6"/>
    <x v="17"/>
    <n v="0.43"/>
  </r>
  <r>
    <x v="5"/>
    <x v="6"/>
    <x v="18"/>
    <n v="0.218"/>
  </r>
  <r>
    <x v="5"/>
    <x v="6"/>
    <x v="19"/>
    <n v="0.154"/>
  </r>
  <r>
    <x v="5"/>
    <x v="7"/>
    <x v="0"/>
    <n v="0.64900000000000002"/>
  </r>
  <r>
    <x v="5"/>
    <x v="7"/>
    <x v="1"/>
    <n v="0.60599999999999998"/>
  </r>
  <r>
    <x v="5"/>
    <x v="7"/>
    <x v="2"/>
    <n v="0.60799999999999998"/>
  </r>
  <r>
    <x v="5"/>
    <x v="7"/>
    <x v="3"/>
    <n v="0.60199999999999998"/>
  </r>
  <r>
    <x v="5"/>
    <x v="7"/>
    <x v="4"/>
    <n v="0.61699999999999999"/>
  </r>
  <r>
    <x v="5"/>
    <x v="7"/>
    <x v="5"/>
    <n v="0.60499999999999998"/>
  </r>
  <r>
    <x v="5"/>
    <x v="7"/>
    <x v="6"/>
    <n v="0.12"/>
  </r>
  <r>
    <x v="5"/>
    <x v="7"/>
    <x v="7"/>
    <n v="0.42899999999999999"/>
  </r>
  <r>
    <x v="5"/>
    <x v="7"/>
    <x v="8"/>
    <n v="0.60499999999999998"/>
  </r>
  <r>
    <x v="5"/>
    <x v="7"/>
    <x v="9"/>
    <n v="0.64700000000000002"/>
  </r>
  <r>
    <x v="5"/>
    <x v="7"/>
    <x v="10"/>
    <n v="0.63300000000000001"/>
  </r>
  <r>
    <x v="5"/>
    <x v="7"/>
    <x v="11"/>
    <n v="0.13100000000000001"/>
  </r>
  <r>
    <x v="5"/>
    <x v="7"/>
    <x v="12"/>
    <n v="0.66400000000000003"/>
  </r>
  <r>
    <x v="5"/>
    <x v="7"/>
    <x v="13"/>
    <n v="5.6000000000000001E-2"/>
  </r>
  <r>
    <x v="5"/>
    <x v="7"/>
    <x v="14"/>
    <n v="0.154"/>
  </r>
  <r>
    <x v="5"/>
    <x v="7"/>
    <x v="15"/>
    <n v="0.214"/>
  </r>
  <r>
    <x v="5"/>
    <x v="7"/>
    <x v="16"/>
    <n v="0.41399999999999998"/>
  </r>
  <r>
    <x v="5"/>
    <x v="7"/>
    <x v="17"/>
    <n v="0.42899999999999999"/>
  </r>
  <r>
    <x v="5"/>
    <x v="7"/>
    <x v="18"/>
    <n v="0.22700000000000001"/>
  </r>
  <r>
    <x v="5"/>
    <x v="7"/>
    <x v="19"/>
    <n v="0.16200000000000001"/>
  </r>
  <r>
    <x v="5"/>
    <x v="8"/>
    <x v="0"/>
    <n v="0.65200000000000002"/>
  </r>
  <r>
    <x v="5"/>
    <x v="8"/>
    <x v="1"/>
    <n v="0.60499999999999998"/>
  </r>
  <r>
    <x v="5"/>
    <x v="8"/>
    <x v="2"/>
    <n v="0.60799999999999998"/>
  </r>
  <r>
    <x v="5"/>
    <x v="8"/>
    <x v="3"/>
    <n v="0.6"/>
  </r>
  <r>
    <x v="5"/>
    <x v="8"/>
    <x v="4"/>
    <n v="0.61699999999999999"/>
  </r>
  <r>
    <x v="5"/>
    <x v="8"/>
    <x v="5"/>
    <n v="0.60299999999999998"/>
  </r>
  <r>
    <x v="5"/>
    <x v="8"/>
    <x v="6"/>
    <n v="0.125"/>
  </r>
  <r>
    <x v="5"/>
    <x v="8"/>
    <x v="7"/>
    <n v="0.42899999999999999"/>
  </r>
  <r>
    <x v="5"/>
    <x v="8"/>
    <x v="8"/>
    <n v="0.60499999999999998"/>
  </r>
  <r>
    <x v="5"/>
    <x v="8"/>
    <x v="9"/>
    <n v="0.437"/>
  </r>
  <r>
    <x v="5"/>
    <x v="8"/>
    <x v="10"/>
    <n v="0.63500000000000001"/>
  </r>
  <r>
    <x v="5"/>
    <x v="8"/>
    <x v="11"/>
    <n v="0.127"/>
  </r>
  <r>
    <x v="5"/>
    <x v="8"/>
    <x v="12"/>
    <n v="0.66700000000000004"/>
  </r>
  <r>
    <x v="5"/>
    <x v="8"/>
    <x v="13"/>
    <n v="8.5000000000000006E-2"/>
  </r>
  <r>
    <x v="5"/>
    <x v="8"/>
    <x v="14"/>
    <n v="0.156"/>
  </r>
  <r>
    <x v="5"/>
    <x v="8"/>
    <x v="15"/>
    <n v="0.20899999999999999"/>
  </r>
  <r>
    <x v="5"/>
    <x v="8"/>
    <x v="16"/>
    <n v="0.41299999999999998"/>
  </r>
  <r>
    <x v="5"/>
    <x v="8"/>
    <x v="17"/>
    <n v="0.42799999999999999"/>
  </r>
  <r>
    <x v="5"/>
    <x v="8"/>
    <x v="18"/>
    <n v="0.223"/>
  </r>
  <r>
    <x v="5"/>
    <x v="8"/>
    <x v="19"/>
    <n v="0.159"/>
  </r>
  <r>
    <x v="5"/>
    <x v="9"/>
    <x v="0"/>
    <n v="0.437"/>
  </r>
  <r>
    <x v="5"/>
    <x v="9"/>
    <x v="1"/>
    <n v="0.60399999999999998"/>
  </r>
  <r>
    <x v="5"/>
    <x v="9"/>
    <x v="2"/>
    <n v="0.60699999999999998"/>
  </r>
  <r>
    <x v="5"/>
    <x v="9"/>
    <x v="3"/>
    <n v="0.6"/>
  </r>
  <r>
    <x v="5"/>
    <x v="9"/>
    <x v="4"/>
    <n v="0.61699999999999999"/>
  </r>
  <r>
    <x v="5"/>
    <x v="9"/>
    <x v="5"/>
    <n v="0.60199999999999998"/>
  </r>
  <r>
    <x v="5"/>
    <x v="9"/>
    <x v="6"/>
    <n v="0.125"/>
  </r>
  <r>
    <x v="5"/>
    <x v="9"/>
    <x v="7"/>
    <n v="0.42499999999999999"/>
  </r>
  <r>
    <x v="5"/>
    <x v="9"/>
    <x v="8"/>
    <n v="0.60299999999999998"/>
  </r>
  <r>
    <x v="5"/>
    <x v="9"/>
    <x v="9"/>
    <n v="0.433"/>
  </r>
  <r>
    <x v="5"/>
    <x v="9"/>
    <x v="10"/>
    <n v="0.63400000000000001"/>
  </r>
  <r>
    <x v="5"/>
    <x v="9"/>
    <x v="11"/>
    <n v="0.13300000000000001"/>
  </r>
  <r>
    <x v="5"/>
    <x v="9"/>
    <x v="12"/>
    <n v="0.45"/>
  </r>
  <r>
    <x v="5"/>
    <x v="9"/>
    <x v="13"/>
    <n v="8.7999999999999995E-2"/>
  </r>
  <r>
    <x v="5"/>
    <x v="9"/>
    <x v="14"/>
    <n v="0.155"/>
  </r>
  <r>
    <x v="5"/>
    <x v="9"/>
    <x v="15"/>
    <n v="0.214"/>
  </r>
  <r>
    <x v="5"/>
    <x v="9"/>
    <x v="16"/>
    <n v="0.40899999999999997"/>
  </r>
  <r>
    <x v="5"/>
    <x v="9"/>
    <x v="17"/>
    <n v="0.42399999999999999"/>
  </r>
  <r>
    <x v="5"/>
    <x v="9"/>
    <x v="18"/>
    <n v="0.22700000000000001"/>
  </r>
  <r>
    <x v="5"/>
    <x v="9"/>
    <x v="19"/>
    <n v="0.16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x v="0"/>
    <x v="0"/>
    <n v="9.1999999999999998E-2"/>
  </r>
  <r>
    <x v="0"/>
    <x v="1"/>
    <x v="1"/>
    <n v="9.2999999999999999E-2"/>
  </r>
  <r>
    <x v="0"/>
    <x v="2"/>
    <x v="0"/>
    <n v="0.108"/>
  </r>
  <r>
    <x v="0"/>
    <x v="3"/>
    <x v="0"/>
    <n v="0.113"/>
  </r>
  <r>
    <x v="0"/>
    <x v="4"/>
    <x v="0"/>
    <n v="0.11600000000000001"/>
  </r>
  <r>
    <x v="0"/>
    <x v="5"/>
    <x v="2"/>
    <n v="0.11"/>
  </r>
  <r>
    <x v="0"/>
    <x v="6"/>
    <x v="0"/>
    <n v="0.112"/>
  </r>
  <r>
    <x v="0"/>
    <x v="7"/>
    <x v="1"/>
    <n v="7.8E-2"/>
  </r>
  <r>
    <x v="0"/>
    <x v="8"/>
    <x v="0"/>
    <n v="0.111"/>
  </r>
  <r>
    <x v="0"/>
    <x v="9"/>
    <x v="1"/>
    <n v="0.109"/>
  </r>
  <r>
    <x v="1"/>
    <x v="0"/>
    <x v="1"/>
    <n v="2.5999999999999999E-2"/>
  </r>
  <r>
    <x v="1"/>
    <x v="1"/>
    <x v="2"/>
    <n v="7.0000000000000007E-2"/>
  </r>
  <r>
    <x v="1"/>
    <x v="2"/>
    <x v="1"/>
    <n v="4.3999999999999997E-2"/>
  </r>
  <r>
    <x v="1"/>
    <x v="3"/>
    <x v="1"/>
    <n v="0.05"/>
  </r>
  <r>
    <x v="1"/>
    <x v="4"/>
    <x v="1"/>
    <n v="2.5000000000000001E-2"/>
  </r>
  <r>
    <x v="1"/>
    <x v="5"/>
    <x v="1"/>
    <n v="2.5000000000000001E-2"/>
  </r>
  <r>
    <x v="1"/>
    <x v="6"/>
    <x v="1"/>
    <n v="2.4E-2"/>
  </r>
  <r>
    <x v="1"/>
    <x v="7"/>
    <x v="1"/>
    <n v="2.7E-2"/>
  </r>
  <r>
    <x v="1"/>
    <x v="8"/>
    <x v="1"/>
    <n v="3.9E-2"/>
  </r>
  <r>
    <x v="1"/>
    <x v="9"/>
    <x v="1"/>
    <n v="2.1999999999999999E-2"/>
  </r>
  <r>
    <x v="2"/>
    <x v="0"/>
    <x v="0"/>
    <n v="7.4999999999999997E-2"/>
  </r>
  <r>
    <x v="3"/>
    <x v="0"/>
    <x v="2"/>
    <n v="9.4E-2"/>
  </r>
  <r>
    <x v="3"/>
    <x v="1"/>
    <x v="2"/>
    <n v="6.8000000000000005E-2"/>
  </r>
  <r>
    <x v="3"/>
    <x v="2"/>
    <x v="2"/>
    <n v="6.7000000000000004E-2"/>
  </r>
  <r>
    <x v="3"/>
    <x v="3"/>
    <x v="2"/>
    <n v="9.5000000000000001E-2"/>
  </r>
  <r>
    <x v="3"/>
    <x v="4"/>
    <x v="2"/>
    <n v="6.5000000000000002E-2"/>
  </r>
  <r>
    <x v="3"/>
    <x v="5"/>
    <x v="2"/>
    <n v="6.5000000000000002E-2"/>
  </r>
  <r>
    <x v="3"/>
    <x v="6"/>
    <x v="3"/>
    <n v="0.09"/>
  </r>
  <r>
    <x v="3"/>
    <x v="7"/>
    <x v="2"/>
    <n v="9.4E-2"/>
  </r>
  <r>
    <x v="3"/>
    <x v="8"/>
    <x v="3"/>
    <n v="8.8999999999999996E-2"/>
  </r>
  <r>
    <x v="3"/>
    <x v="9"/>
    <x v="2"/>
    <n v="9.6000000000000002E-2"/>
  </r>
  <r>
    <x v="3"/>
    <x v="10"/>
    <x v="2"/>
    <n v="7.0999999999999994E-2"/>
  </r>
  <r>
    <x v="3"/>
    <x v="11"/>
    <x v="2"/>
    <n v="0.10299999999999999"/>
  </r>
  <r>
    <x v="4"/>
    <x v="0"/>
    <x v="0"/>
    <n v="6.0999999999999999E-2"/>
  </r>
  <r>
    <x v="4"/>
    <x v="1"/>
    <x v="0"/>
    <n v="6.2E-2"/>
  </r>
  <r>
    <x v="4"/>
    <x v="2"/>
    <x v="0"/>
    <n v="5.8999999999999997E-2"/>
  </r>
  <r>
    <x v="4"/>
    <x v="3"/>
    <x v="0"/>
    <n v="5.8000000000000003E-2"/>
  </r>
  <r>
    <x v="4"/>
    <x v="4"/>
    <x v="1"/>
    <n v="0.06"/>
  </r>
  <r>
    <x v="4"/>
    <x v="5"/>
    <x v="1"/>
    <n v="0.06"/>
  </r>
  <r>
    <x v="4"/>
    <x v="6"/>
    <x v="0"/>
    <n v="6.0999999999999999E-2"/>
  </r>
  <r>
    <x v="4"/>
    <x v="7"/>
    <x v="0"/>
    <n v="0.06"/>
  </r>
  <r>
    <x v="4"/>
    <x v="8"/>
    <x v="0"/>
    <n v="0.06"/>
  </r>
  <r>
    <x v="4"/>
    <x v="9"/>
    <x v="1"/>
    <n v="0.06"/>
  </r>
  <r>
    <x v="5"/>
    <x v="0"/>
    <x v="2"/>
    <n v="5.3999999999999999E-2"/>
  </r>
  <r>
    <x v="5"/>
    <x v="1"/>
    <x v="2"/>
    <n v="5.1999999999999998E-2"/>
  </r>
  <r>
    <x v="5"/>
    <x v="2"/>
    <x v="2"/>
    <n v="5.7000000000000002E-2"/>
  </r>
  <r>
    <x v="5"/>
    <x v="3"/>
    <x v="2"/>
    <n v="5.5E-2"/>
  </r>
  <r>
    <x v="5"/>
    <x v="4"/>
    <x v="2"/>
    <n v="5.6000000000000001E-2"/>
  </r>
  <r>
    <x v="5"/>
    <x v="5"/>
    <x v="2"/>
    <n v="8.5999999999999993E-2"/>
  </r>
  <r>
    <x v="5"/>
    <x v="6"/>
    <x v="2"/>
    <n v="8.3000000000000004E-2"/>
  </r>
  <r>
    <x v="5"/>
    <x v="7"/>
    <x v="2"/>
    <n v="5.6000000000000001E-2"/>
  </r>
  <r>
    <x v="5"/>
    <x v="8"/>
    <x v="2"/>
    <n v="8.5000000000000006E-2"/>
  </r>
  <r>
    <x v="5"/>
    <x v="9"/>
    <x v="2"/>
    <n v="8.7999999999999995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x v="0"/>
    <s v="onf_20"/>
    <n v="9.1999999999999998E-2"/>
    <n v="20"/>
  </r>
  <r>
    <x v="0"/>
    <x v="1"/>
    <s v="onf_12"/>
    <n v="9.2999999999999999E-2"/>
    <n v="12"/>
  </r>
  <r>
    <x v="0"/>
    <x v="2"/>
    <s v="onf_20"/>
    <n v="0.108"/>
    <n v="20"/>
  </r>
  <r>
    <x v="0"/>
    <x v="3"/>
    <s v="onf_20"/>
    <n v="0.113"/>
    <n v="20"/>
  </r>
  <r>
    <x v="0"/>
    <x v="4"/>
    <s v="onf_20"/>
    <n v="0.11600000000000001"/>
    <n v="20"/>
  </r>
  <r>
    <x v="0"/>
    <x v="5"/>
    <s v="onf_14"/>
    <n v="0.11"/>
    <n v="14"/>
  </r>
  <r>
    <x v="0"/>
    <x v="6"/>
    <s v="onf_20"/>
    <n v="0.112"/>
    <n v="20"/>
  </r>
  <r>
    <x v="0"/>
    <x v="7"/>
    <s v="onf_12"/>
    <n v="7.8E-2"/>
    <n v="12"/>
  </r>
  <r>
    <x v="0"/>
    <x v="8"/>
    <s v="onf_20"/>
    <n v="0.111"/>
    <n v="20"/>
  </r>
  <r>
    <x v="0"/>
    <x v="9"/>
    <s v="onf_12"/>
    <n v="0.109"/>
    <n v="12"/>
  </r>
  <r>
    <x v="1"/>
    <x v="0"/>
    <s v="onf_12"/>
    <n v="2.5999999999999999E-2"/>
    <n v="12"/>
  </r>
  <r>
    <x v="1"/>
    <x v="1"/>
    <s v="onf_14"/>
    <n v="7.0000000000000007E-2"/>
    <n v="14"/>
  </r>
  <r>
    <x v="1"/>
    <x v="2"/>
    <s v="onf_12"/>
    <n v="4.3999999999999997E-2"/>
    <n v="12"/>
  </r>
  <r>
    <x v="1"/>
    <x v="3"/>
    <s v="onf_12"/>
    <n v="0.05"/>
    <n v="12"/>
  </r>
  <r>
    <x v="1"/>
    <x v="4"/>
    <s v="onf_12"/>
    <n v="2.5000000000000001E-2"/>
    <n v="12"/>
  </r>
  <r>
    <x v="1"/>
    <x v="5"/>
    <s v="onf_12"/>
    <n v="2.5000000000000001E-2"/>
    <n v="12"/>
  </r>
  <r>
    <x v="1"/>
    <x v="6"/>
    <s v="onf_12"/>
    <n v="2.4E-2"/>
    <n v="12"/>
  </r>
  <r>
    <x v="1"/>
    <x v="7"/>
    <s v="onf_12"/>
    <n v="2.7E-2"/>
    <n v="12"/>
  </r>
  <r>
    <x v="1"/>
    <x v="8"/>
    <s v="onf_12"/>
    <n v="3.9E-2"/>
    <n v="12"/>
  </r>
  <r>
    <x v="1"/>
    <x v="9"/>
    <s v="onf_12"/>
    <n v="2.1999999999999999E-2"/>
    <n v="12"/>
  </r>
  <r>
    <x v="2"/>
    <x v="0"/>
    <s v="onf_20"/>
    <n v="7.4999999999999997E-2"/>
    <n v="20"/>
  </r>
  <r>
    <x v="3"/>
    <x v="0"/>
    <s v="onf_14"/>
    <n v="9.4E-2"/>
    <n v="14"/>
  </r>
  <r>
    <x v="3"/>
    <x v="1"/>
    <s v="onf_14"/>
    <n v="6.8000000000000005E-2"/>
    <n v="14"/>
  </r>
  <r>
    <x v="3"/>
    <x v="2"/>
    <s v="onf_14"/>
    <n v="6.7000000000000004E-2"/>
    <n v="14"/>
  </r>
  <r>
    <x v="3"/>
    <x v="3"/>
    <s v="onf_14"/>
    <n v="9.5000000000000001E-2"/>
    <n v="14"/>
  </r>
  <r>
    <x v="3"/>
    <x v="4"/>
    <s v="onf_14"/>
    <n v="6.5000000000000002E-2"/>
    <n v="14"/>
  </r>
  <r>
    <x v="3"/>
    <x v="5"/>
    <s v="onf_14"/>
    <n v="6.5000000000000002E-2"/>
    <n v="14"/>
  </r>
  <r>
    <x v="3"/>
    <x v="6"/>
    <s v="onf_7"/>
    <n v="0.09"/>
    <n v="7"/>
  </r>
  <r>
    <x v="3"/>
    <x v="7"/>
    <s v="onf_14"/>
    <n v="9.4E-2"/>
    <n v="14"/>
  </r>
  <r>
    <x v="3"/>
    <x v="8"/>
    <s v="onf_7"/>
    <n v="8.8999999999999996E-2"/>
    <n v="7"/>
  </r>
  <r>
    <x v="3"/>
    <x v="9"/>
    <s v="onf_14"/>
    <n v="9.6000000000000002E-2"/>
    <n v="14"/>
  </r>
  <r>
    <x v="3"/>
    <x v="10"/>
    <s v="onf_14"/>
    <n v="7.0999999999999994E-2"/>
    <n v="14"/>
  </r>
  <r>
    <x v="3"/>
    <x v="11"/>
    <s v="onf_14"/>
    <n v="0.10299999999999999"/>
    <n v="14"/>
  </r>
  <r>
    <x v="4"/>
    <x v="0"/>
    <s v="onf_20"/>
    <n v="6.0999999999999999E-2"/>
    <n v="20"/>
  </r>
  <r>
    <x v="4"/>
    <x v="1"/>
    <s v="onf_20"/>
    <n v="6.2E-2"/>
    <n v="20"/>
  </r>
  <r>
    <x v="4"/>
    <x v="2"/>
    <s v="onf_20"/>
    <n v="5.8999999999999997E-2"/>
    <n v="20"/>
  </r>
  <r>
    <x v="4"/>
    <x v="3"/>
    <s v="onf_20"/>
    <n v="5.8000000000000003E-2"/>
    <n v="20"/>
  </r>
  <r>
    <x v="4"/>
    <x v="4"/>
    <s v="onf_12"/>
    <n v="0.06"/>
    <n v="12"/>
  </r>
  <r>
    <x v="4"/>
    <x v="5"/>
    <s v="onf_12"/>
    <n v="0.06"/>
    <n v="12"/>
  </r>
  <r>
    <x v="4"/>
    <x v="6"/>
    <s v="onf_20"/>
    <n v="6.0999999999999999E-2"/>
    <n v="20"/>
  </r>
  <r>
    <x v="4"/>
    <x v="7"/>
    <s v="onf_20"/>
    <n v="0.06"/>
    <n v="20"/>
  </r>
  <r>
    <x v="4"/>
    <x v="8"/>
    <s v="onf_20"/>
    <n v="0.06"/>
    <n v="20"/>
  </r>
  <r>
    <x v="4"/>
    <x v="9"/>
    <s v="onf_12"/>
    <n v="0.06"/>
    <n v="12"/>
  </r>
  <r>
    <x v="5"/>
    <x v="0"/>
    <s v="onf_14"/>
    <n v="5.3999999999999999E-2"/>
    <n v="14"/>
  </r>
  <r>
    <x v="5"/>
    <x v="1"/>
    <s v="onf_14"/>
    <n v="5.1999999999999998E-2"/>
    <n v="14"/>
  </r>
  <r>
    <x v="5"/>
    <x v="2"/>
    <s v="onf_14"/>
    <n v="5.7000000000000002E-2"/>
    <n v="14"/>
  </r>
  <r>
    <x v="5"/>
    <x v="3"/>
    <s v="onf_14"/>
    <n v="5.5E-2"/>
    <n v="14"/>
  </r>
  <r>
    <x v="5"/>
    <x v="4"/>
    <s v="onf_14"/>
    <n v="5.6000000000000001E-2"/>
    <n v="14"/>
  </r>
  <r>
    <x v="5"/>
    <x v="5"/>
    <s v="onf_14"/>
    <n v="8.5999999999999993E-2"/>
    <n v="14"/>
  </r>
  <r>
    <x v="5"/>
    <x v="6"/>
    <s v="onf_14"/>
    <n v="8.3000000000000004E-2"/>
    <n v="14"/>
  </r>
  <r>
    <x v="5"/>
    <x v="7"/>
    <s v="onf_14"/>
    <n v="5.6000000000000001E-2"/>
    <n v="14"/>
  </r>
  <r>
    <x v="5"/>
    <x v="8"/>
    <s v="onf_14"/>
    <n v="8.5000000000000006E-2"/>
    <n v="14"/>
  </r>
  <r>
    <x v="5"/>
    <x v="9"/>
    <s v="onf_14"/>
    <n v="8.7999999999999995E-2"/>
    <n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n v="0.17799999999999999"/>
  </r>
  <r>
    <x v="0"/>
    <x v="1"/>
    <n v="0.16400000000000001"/>
  </r>
  <r>
    <x v="0"/>
    <x v="2"/>
    <n v="0.193"/>
  </r>
  <r>
    <x v="0"/>
    <x v="3"/>
    <n v="0.189"/>
  </r>
  <r>
    <x v="0"/>
    <x v="4"/>
    <n v="0.14899999999999999"/>
  </r>
  <r>
    <x v="0"/>
    <x v="5"/>
    <n v="0.184"/>
  </r>
  <r>
    <x v="0"/>
    <x v="6"/>
    <n v="0.19400000000000001"/>
  </r>
  <r>
    <x v="0"/>
    <x v="7"/>
    <n v="0.16700000000000001"/>
  </r>
  <r>
    <x v="0"/>
    <x v="8"/>
    <n v="0.19900000000000001"/>
  </r>
  <r>
    <x v="0"/>
    <x v="9"/>
    <n v="0.16500000000000001"/>
  </r>
  <r>
    <x v="1"/>
    <x v="0"/>
    <n v="0.20399999999999999"/>
  </r>
  <r>
    <x v="1"/>
    <x v="1"/>
    <n v="0.215"/>
  </r>
  <r>
    <x v="1"/>
    <x v="2"/>
    <n v="0.215"/>
  </r>
  <r>
    <x v="1"/>
    <x v="3"/>
    <n v="0.224"/>
  </r>
  <r>
    <x v="1"/>
    <x v="4"/>
    <n v="0.217"/>
  </r>
  <r>
    <x v="1"/>
    <x v="5"/>
    <n v="0.22600000000000001"/>
  </r>
  <r>
    <x v="1"/>
    <x v="6"/>
    <n v="0.22500000000000001"/>
  </r>
  <r>
    <x v="1"/>
    <x v="7"/>
    <n v="0.23300000000000001"/>
  </r>
  <r>
    <x v="1"/>
    <x v="8"/>
    <n v="0.28899999999999998"/>
  </r>
  <r>
    <x v="1"/>
    <x v="9"/>
    <n v="0.20699999999999999"/>
  </r>
  <r>
    <x v="2"/>
    <x v="0"/>
    <n v="0.107"/>
  </r>
  <r>
    <x v="3"/>
    <x v="0"/>
    <n v="0.14199999999999999"/>
  </r>
  <r>
    <x v="3"/>
    <x v="1"/>
    <n v="0.112"/>
  </r>
  <r>
    <x v="3"/>
    <x v="2"/>
    <n v="0.23799999999999999"/>
  </r>
  <r>
    <x v="3"/>
    <x v="3"/>
    <n v="0.13900000000000001"/>
  </r>
  <r>
    <x v="3"/>
    <x v="4"/>
    <n v="3.7999999999999999E-2"/>
  </r>
  <r>
    <x v="3"/>
    <x v="5"/>
    <n v="0.122"/>
  </r>
  <r>
    <x v="3"/>
    <x v="6"/>
    <n v="0.155"/>
  </r>
  <r>
    <x v="3"/>
    <x v="7"/>
    <n v="0.129"/>
  </r>
  <r>
    <x v="3"/>
    <x v="8"/>
    <n v="7.5999999999999998E-2"/>
  </r>
  <r>
    <x v="3"/>
    <x v="9"/>
    <n v="0.108"/>
  </r>
  <r>
    <x v="3"/>
    <x v="10"/>
    <n v="0.151"/>
  </r>
  <r>
    <x v="3"/>
    <x v="11"/>
    <n v="0.18099999999999999"/>
  </r>
  <r>
    <x v="4"/>
    <x v="0"/>
    <n v="0.318"/>
  </r>
  <r>
    <x v="4"/>
    <x v="1"/>
    <n v="0.315"/>
  </r>
  <r>
    <x v="4"/>
    <x v="2"/>
    <n v="0.307"/>
  </r>
  <r>
    <x v="4"/>
    <x v="3"/>
    <n v="0.32300000000000001"/>
  </r>
  <r>
    <x v="4"/>
    <x v="4"/>
    <n v="0.30499999999999999"/>
  </r>
  <r>
    <x v="4"/>
    <x v="5"/>
    <n v="0.32"/>
  </r>
  <r>
    <x v="4"/>
    <x v="6"/>
    <n v="0.378"/>
  </r>
  <r>
    <x v="4"/>
    <x v="7"/>
    <n v="0.52800000000000002"/>
  </r>
  <r>
    <x v="4"/>
    <x v="8"/>
    <n v="0.59"/>
  </r>
  <r>
    <x v="4"/>
    <x v="9"/>
    <n v="0.45800000000000002"/>
  </r>
  <r>
    <x v="5"/>
    <x v="0"/>
    <n v="0.23799999999999999"/>
  </r>
  <r>
    <x v="5"/>
    <x v="1"/>
    <n v="0.19400000000000001"/>
  </r>
  <r>
    <x v="5"/>
    <x v="2"/>
    <n v="0.25900000000000001"/>
  </r>
  <r>
    <x v="5"/>
    <x v="3"/>
    <n v="0.246"/>
  </r>
  <r>
    <x v="5"/>
    <x v="4"/>
    <n v="0.19500000000000001"/>
  </r>
  <r>
    <x v="5"/>
    <x v="5"/>
    <n v="0.311"/>
  </r>
  <r>
    <x v="5"/>
    <x v="6"/>
    <n v="0.32300000000000001"/>
  </r>
  <r>
    <x v="5"/>
    <x v="7"/>
    <n v="0.30299999999999999"/>
  </r>
  <r>
    <x v="5"/>
    <x v="8"/>
    <n v="0.308"/>
  </r>
  <r>
    <x v="5"/>
    <x v="9"/>
    <n v="0.314"/>
  </r>
  <r>
    <x v="6"/>
    <x v="0"/>
    <s v="NA"/>
  </r>
  <r>
    <x v="6"/>
    <x v="1"/>
    <s v="NA"/>
  </r>
  <r>
    <x v="6"/>
    <x v="2"/>
    <s v="NA"/>
  </r>
  <r>
    <x v="6"/>
    <x v="3"/>
    <s v="NA"/>
  </r>
  <r>
    <x v="6"/>
    <x v="4"/>
    <s v="NA"/>
  </r>
  <r>
    <x v="6"/>
    <x v="5"/>
    <s v="NA"/>
  </r>
  <r>
    <x v="6"/>
    <x v="6"/>
    <s v="NA"/>
  </r>
  <r>
    <x v="6"/>
    <x v="7"/>
    <s v="NA"/>
  </r>
  <r>
    <x v="6"/>
    <x v="8"/>
    <s v="NA"/>
  </r>
  <r>
    <x v="6"/>
    <x v="9"/>
    <s v="NA"/>
  </r>
  <r>
    <x v="6"/>
    <x v="10"/>
    <s v="NA"/>
  </r>
  <r>
    <x v="6"/>
    <x v="11"/>
    <s v="NA"/>
  </r>
  <r>
    <x v="6"/>
    <x v="12"/>
    <s v="NA"/>
  </r>
  <r>
    <x v="6"/>
    <x v="13"/>
    <s v="NA"/>
  </r>
  <r>
    <x v="6"/>
    <x v="14"/>
    <s v="NA"/>
  </r>
  <r>
    <x v="6"/>
    <x v="15"/>
    <s v="NA"/>
  </r>
  <r>
    <x v="6"/>
    <x v="16"/>
    <s v="NA"/>
  </r>
  <r>
    <x v="6"/>
    <x v="17"/>
    <s v="NA"/>
  </r>
  <r>
    <x v="6"/>
    <x v="18"/>
    <s v="NA"/>
  </r>
  <r>
    <x v="6"/>
    <x v="19"/>
    <s v="NA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n v="1"/>
    <n v="18.8"/>
  </r>
  <r>
    <x v="0"/>
    <n v="2"/>
    <n v="18.73"/>
  </r>
  <r>
    <x v="0"/>
    <n v="3"/>
    <n v="18.47"/>
  </r>
  <r>
    <x v="0"/>
    <n v="4"/>
    <n v="18.73"/>
  </r>
  <r>
    <x v="0"/>
    <n v="5"/>
    <n v="18.57"/>
  </r>
  <r>
    <x v="0"/>
    <n v="6"/>
    <n v="18.8"/>
  </r>
  <r>
    <x v="0"/>
    <n v="7"/>
    <n v="18.760000000000002"/>
  </r>
  <r>
    <x v="0"/>
    <n v="8"/>
    <n v="18.71"/>
  </r>
  <r>
    <x v="0"/>
    <n v="9"/>
    <n v="18.64"/>
  </r>
  <r>
    <x v="0"/>
    <n v="10"/>
    <n v="18.760000000000002"/>
  </r>
  <r>
    <x v="1"/>
    <n v="1"/>
    <n v="19.41"/>
  </r>
  <r>
    <x v="1"/>
    <n v="2"/>
    <n v="19.399999999999999"/>
  </r>
  <r>
    <x v="1"/>
    <n v="3"/>
    <n v="19.41"/>
  </r>
  <r>
    <x v="1"/>
    <n v="4"/>
    <n v="19.54"/>
  </r>
  <r>
    <x v="1"/>
    <n v="5"/>
    <n v="19.59"/>
  </r>
  <r>
    <x v="1"/>
    <n v="6"/>
    <n v="19.43"/>
  </r>
  <r>
    <x v="1"/>
    <n v="7"/>
    <n v="19.440000000000001"/>
  </r>
  <r>
    <x v="1"/>
    <n v="8"/>
    <n v="19.47"/>
  </r>
  <r>
    <x v="1"/>
    <n v="9"/>
    <n v="19.489999999999998"/>
  </r>
  <r>
    <x v="1"/>
    <n v="10"/>
    <n v="19.45"/>
  </r>
  <r>
    <x v="2"/>
    <n v="1"/>
    <n v="19.57"/>
  </r>
  <r>
    <x v="3"/>
    <n v="1"/>
    <n v="17.5"/>
  </r>
  <r>
    <x v="3"/>
    <n v="2"/>
    <n v="17.78"/>
  </r>
  <r>
    <x v="3"/>
    <n v="3"/>
    <n v="17.79"/>
  </r>
  <r>
    <x v="3"/>
    <n v="4"/>
    <n v="17.73"/>
  </r>
  <r>
    <x v="3"/>
    <n v="5"/>
    <n v="17.78"/>
  </r>
  <r>
    <x v="3"/>
    <n v="6"/>
    <n v="17.38"/>
  </r>
  <r>
    <x v="3"/>
    <n v="7"/>
    <n v="17.57"/>
  </r>
  <r>
    <x v="3"/>
    <n v="8"/>
    <n v="17.93"/>
  </r>
  <r>
    <x v="3"/>
    <n v="9"/>
    <n v="17.579999999999998"/>
  </r>
  <r>
    <x v="3"/>
    <n v="10"/>
    <n v="17.91"/>
  </r>
  <r>
    <x v="3"/>
    <n v="11"/>
    <n v="17.739999999999998"/>
  </r>
  <r>
    <x v="3"/>
    <n v="12"/>
    <n v="17.45"/>
  </r>
  <r>
    <x v="4"/>
    <n v="1"/>
    <n v="19.11"/>
  </r>
  <r>
    <x v="4"/>
    <n v="2"/>
    <n v="19.010000000000002"/>
  </r>
  <r>
    <x v="4"/>
    <n v="3"/>
    <n v="19.23"/>
  </r>
  <r>
    <x v="4"/>
    <n v="4"/>
    <n v="19.149999999999999"/>
  </r>
  <r>
    <x v="4"/>
    <n v="5"/>
    <n v="19.23"/>
  </r>
  <r>
    <x v="4"/>
    <n v="6"/>
    <n v="19.02"/>
  </r>
  <r>
    <x v="4"/>
    <n v="7"/>
    <n v="19.03"/>
  </r>
  <r>
    <x v="4"/>
    <n v="8"/>
    <n v="18.760000000000002"/>
  </r>
  <r>
    <x v="4"/>
    <n v="9"/>
    <n v="18.8"/>
  </r>
  <r>
    <x v="4"/>
    <n v="10"/>
    <n v="18.809999999999999"/>
  </r>
  <r>
    <x v="5"/>
    <n v="1"/>
    <n v="19.670000000000002"/>
  </r>
  <r>
    <x v="5"/>
    <n v="2"/>
    <n v="19.670000000000002"/>
  </r>
  <r>
    <x v="5"/>
    <n v="3"/>
    <n v="19.66"/>
  </r>
  <r>
    <x v="5"/>
    <n v="4"/>
    <n v="19.72"/>
  </r>
  <r>
    <x v="5"/>
    <n v="5"/>
    <n v="19.68"/>
  </r>
  <r>
    <x v="5"/>
    <n v="6"/>
    <n v="19.68"/>
  </r>
  <r>
    <x v="5"/>
    <n v="7"/>
    <n v="19.77"/>
  </r>
  <r>
    <x v="5"/>
    <n v="8"/>
    <n v="19.61"/>
  </r>
  <r>
    <x v="5"/>
    <n v="9"/>
    <n v="19.73"/>
  </r>
  <r>
    <x v="5"/>
    <n v="10"/>
    <n v="19.68"/>
  </r>
  <r>
    <x v="6"/>
    <n v="1"/>
    <n v="19.82"/>
  </r>
  <r>
    <x v="6"/>
    <n v="2"/>
    <n v="19.239999999999998"/>
  </r>
  <r>
    <x v="6"/>
    <n v="3"/>
    <n v="18.899999999999999"/>
  </r>
  <r>
    <x v="6"/>
    <n v="4"/>
    <n v="20.12"/>
  </r>
  <r>
    <x v="6"/>
    <n v="5"/>
    <n v="18.440000000000001"/>
  </r>
  <r>
    <x v="6"/>
    <n v="6"/>
    <n v="18.93"/>
  </r>
  <r>
    <x v="6"/>
    <n v="7"/>
    <n v="18.95"/>
  </r>
  <r>
    <x v="6"/>
    <n v="8"/>
    <n v="20.21"/>
  </r>
  <r>
    <x v="6"/>
    <n v="9"/>
    <n v="20.12"/>
  </r>
  <r>
    <x v="6"/>
    <n v="10"/>
    <n v="19.7"/>
  </r>
  <r>
    <x v="6"/>
    <n v="11"/>
    <n v="19.38"/>
  </r>
  <r>
    <x v="6"/>
    <n v="12"/>
    <n v="16.23"/>
  </r>
  <r>
    <x v="6"/>
    <n v="13"/>
    <n v="19.89"/>
  </r>
  <r>
    <x v="6"/>
    <n v="14"/>
    <n v="20.16"/>
  </r>
  <r>
    <x v="6"/>
    <n v="15"/>
    <n v="19.579999999999998"/>
  </r>
  <r>
    <x v="6"/>
    <n v="16"/>
    <n v="20.65"/>
  </r>
  <r>
    <x v="6"/>
    <n v="17"/>
    <n v="19.3"/>
  </r>
  <r>
    <x v="6"/>
    <n v="18"/>
    <n v="19.059999999999999"/>
  </r>
  <r>
    <x v="6"/>
    <n v="19"/>
    <n v="19.77"/>
  </r>
  <r>
    <x v="6"/>
    <n v="20"/>
    <n v="19.1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n v="1"/>
    <n v="-159.4"/>
  </r>
  <r>
    <x v="0"/>
    <n v="2"/>
    <n v="-156.69999999999999"/>
  </r>
  <r>
    <x v="0"/>
    <n v="3"/>
    <n v="-157.5"/>
  </r>
  <r>
    <x v="0"/>
    <n v="4"/>
    <n v="-155.5"/>
  </r>
  <r>
    <x v="0"/>
    <n v="5"/>
    <n v="-154.19999999999999"/>
  </r>
  <r>
    <x v="0"/>
    <n v="6"/>
    <n v="-158.6"/>
  </r>
  <r>
    <x v="0"/>
    <n v="7"/>
    <n v="-157.5"/>
  </r>
  <r>
    <x v="0"/>
    <n v="8"/>
    <n v="-156.9"/>
  </r>
  <r>
    <x v="0"/>
    <n v="9"/>
    <n v="-154.6"/>
  </r>
  <r>
    <x v="0"/>
    <n v="10"/>
    <n v="-155.9"/>
  </r>
  <r>
    <x v="1"/>
    <n v="1"/>
    <n v="-155.1"/>
  </r>
  <r>
    <x v="1"/>
    <n v="2"/>
    <n v="-154.5"/>
  </r>
  <r>
    <x v="1"/>
    <n v="3"/>
    <n v="-154.6"/>
  </r>
  <r>
    <x v="1"/>
    <n v="4"/>
    <n v="-155"/>
  </r>
  <r>
    <x v="1"/>
    <n v="5"/>
    <n v="-154.9"/>
  </r>
  <r>
    <x v="1"/>
    <n v="6"/>
    <n v="-155.30000000000001"/>
  </r>
  <r>
    <x v="1"/>
    <n v="7"/>
    <n v="-154.30000000000001"/>
  </r>
  <r>
    <x v="1"/>
    <n v="8"/>
    <n v="-154.1"/>
  </r>
  <r>
    <x v="1"/>
    <n v="9"/>
    <n v="-154.30000000000001"/>
  </r>
  <r>
    <x v="1"/>
    <n v="10"/>
    <n v="-155.30000000000001"/>
  </r>
  <r>
    <x v="2"/>
    <n v="1"/>
    <n v="-162"/>
  </r>
  <r>
    <x v="3"/>
    <n v="1"/>
    <n v="-148.4"/>
  </r>
  <r>
    <x v="3"/>
    <n v="2"/>
    <n v="-154.5"/>
  </r>
  <r>
    <x v="3"/>
    <n v="3"/>
    <n v="-148.80000000000001"/>
  </r>
  <r>
    <x v="3"/>
    <n v="4"/>
    <n v="-156.19999999999999"/>
  </r>
  <r>
    <x v="3"/>
    <n v="5"/>
    <n v="-162.5"/>
  </r>
  <r>
    <x v="3"/>
    <n v="6"/>
    <n v="-153.30000000000001"/>
  </r>
  <r>
    <x v="3"/>
    <n v="7"/>
    <n v="-149"/>
  </r>
  <r>
    <x v="3"/>
    <n v="8"/>
    <n v="-153.9"/>
  </r>
  <r>
    <x v="3"/>
    <n v="9"/>
    <n v="-162.80000000000001"/>
  </r>
  <r>
    <x v="3"/>
    <n v="10"/>
    <n v="-153.69999999999999"/>
  </r>
  <r>
    <x v="3"/>
    <n v="11"/>
    <n v="-146.1"/>
  </r>
  <r>
    <x v="3"/>
    <n v="12"/>
    <n v="-157.4"/>
  </r>
  <r>
    <x v="4"/>
    <n v="1"/>
    <n v="-123.1"/>
  </r>
  <r>
    <x v="4"/>
    <n v="2"/>
    <n v="-122.3"/>
  </r>
  <r>
    <x v="4"/>
    <n v="3"/>
    <n v="-122"/>
  </r>
  <r>
    <x v="4"/>
    <n v="4"/>
    <n v="-122.9"/>
  </r>
  <r>
    <x v="4"/>
    <n v="5"/>
    <n v="-122.6"/>
  </r>
  <r>
    <x v="4"/>
    <n v="6"/>
    <n v="-121.1"/>
  </r>
  <r>
    <x v="4"/>
    <n v="7"/>
    <n v="-124"/>
  </r>
  <r>
    <x v="4"/>
    <n v="8"/>
    <n v="-123.7"/>
  </r>
  <r>
    <x v="4"/>
    <n v="9"/>
    <n v="-123.5"/>
  </r>
  <r>
    <x v="4"/>
    <n v="10"/>
    <n v="-121.8"/>
  </r>
  <r>
    <x v="5"/>
    <n v="1"/>
    <n v="-157.69999999999999"/>
  </r>
  <r>
    <x v="5"/>
    <n v="2"/>
    <n v="-158.1"/>
  </r>
  <r>
    <x v="5"/>
    <n v="3"/>
    <n v="-157.19999999999999"/>
  </r>
  <r>
    <x v="5"/>
    <n v="4"/>
    <n v="-157.30000000000001"/>
  </r>
  <r>
    <x v="5"/>
    <n v="5"/>
    <n v="-157.4"/>
  </r>
  <r>
    <x v="5"/>
    <n v="6"/>
    <n v="-156.4"/>
  </r>
  <r>
    <x v="5"/>
    <n v="7"/>
    <n v="-156.4"/>
  </r>
  <r>
    <x v="5"/>
    <n v="8"/>
    <n v="-157.30000000000001"/>
  </r>
  <r>
    <x v="5"/>
    <n v="9"/>
    <n v="-157.19999999999999"/>
  </r>
  <r>
    <x v="5"/>
    <n v="10"/>
    <n v="-157.1"/>
  </r>
  <r>
    <x v="6"/>
    <n v="1"/>
    <n v="-163.5"/>
  </r>
  <r>
    <x v="6"/>
    <n v="2"/>
    <n v="-170.1"/>
  </r>
  <r>
    <x v="6"/>
    <n v="3"/>
    <n v="174.5"/>
  </r>
  <r>
    <x v="6"/>
    <n v="4"/>
    <n v="173.7"/>
  </r>
  <r>
    <x v="6"/>
    <n v="5"/>
    <n v="-179"/>
  </r>
  <r>
    <x v="6"/>
    <n v="6"/>
    <n v="154.5"/>
  </r>
  <r>
    <x v="6"/>
    <n v="7"/>
    <n v="166.1"/>
  </r>
  <r>
    <x v="6"/>
    <n v="8"/>
    <n v="178"/>
  </r>
  <r>
    <x v="6"/>
    <n v="9"/>
    <n v="-179.2"/>
  </r>
  <r>
    <x v="6"/>
    <n v="10"/>
    <n v="170"/>
  </r>
  <r>
    <x v="6"/>
    <n v="11"/>
    <n v="-51.1"/>
  </r>
  <r>
    <x v="6"/>
    <n v="12"/>
    <n v="-156.5"/>
  </r>
  <r>
    <x v="6"/>
    <n v="13"/>
    <n v="-84"/>
  </r>
  <r>
    <x v="6"/>
    <n v="14"/>
    <n v="171.2"/>
  </r>
  <r>
    <x v="6"/>
    <n v="15"/>
    <n v="177.8"/>
  </r>
  <r>
    <x v="6"/>
    <n v="16"/>
    <n v="-162.1"/>
  </r>
  <r>
    <x v="6"/>
    <n v="17"/>
    <n v="-175.6"/>
  </r>
  <r>
    <x v="6"/>
    <n v="18"/>
    <n v="-54.6"/>
  </r>
  <r>
    <x v="6"/>
    <n v="19"/>
    <n v="165.7"/>
  </r>
  <r>
    <x v="6"/>
    <n v="20"/>
    <n v="-170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DD635-03CD-4A25-80E8-C5649A0D3DD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3" firstHeaderRow="0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2">
    <field x="0"/>
    <field x="1"/>
  </rowFields>
  <rowItems count="6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MSD (A)" fld="3" subtotal="average" baseField="0" baseItem="0"/>
    <dataField name="StdDev of RMSD (A)3" fld="3" subtotal="stdDev" baseField="0" baseItem="0"/>
    <dataField name="Min of RMSD (A)2" fld="3" subtotal="min" baseField="0" baseItem="0"/>
  </dataFields>
  <conditionalFormats count="5">
    <conditionalFormat priority="5">
      <pivotAreas count="11">
        <pivotArea type="data" collapsedLevelsAreSubtotals="1" fieldPosition="0">
          <references count="2">
            <reference field="0" count="1" selected="0">
              <x v="0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1">
            <reference field="0" count="1">
              <x v="1"/>
            </reference>
          </references>
        </pivotArea>
        <pivotArea type="data" collapsedLevelsAreSubtotals="1" fieldPosition="0">
          <references count="2">
            <reference field="0" count="1" selected="0">
              <x v="1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1">
            <reference field="0" count="1">
              <x v="2"/>
            </reference>
          </references>
        </pivotArea>
        <pivotArea type="data" collapsedLevelsAreSubtotals="1" fieldPosition="0">
          <references count="2">
            <reference field="0" count="1" selected="0">
              <x v="2"/>
            </reference>
            <reference field="1" count="1">
              <x v="0"/>
            </reference>
          </references>
        </pivotArea>
        <pivotArea type="data" collapsedLevelsAreSubtotals="1" fieldPosition="0">
          <references count="1">
            <reference field="0" count="1">
              <x v="3"/>
            </reference>
          </references>
        </pivotArea>
        <pivotArea type="data" collapsedLevelsAreSubtotals="1" fieldPosition="0">
          <references count="2">
            <reference field="0" count="1" selected="0">
              <x v="3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collapsedLevelsAreSubtotals="1" fieldPosition="0">
          <references count="1">
            <reference field="0" count="1">
              <x v="4"/>
            </reference>
          </references>
        </pivotArea>
        <pivotArea type="data" collapsedLevelsAreSubtotals="1" fieldPosition="0">
          <references count="2">
            <reference field="0" count="1" selected="0">
              <x v="4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1">
            <reference field="0" count="1">
              <x v="5"/>
            </reference>
          </references>
        </pivotArea>
        <pivotArea type="data" collapsedLevelsAreSubtotals="1" fieldPosition="0">
          <references count="2">
            <reference field="0" count="1" selected="0">
              <x v="5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0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0" count="1" selected="0">
              <x v="0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0" count="1" selected="0">
              <x v="0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">
      <pivotAreas count="11">
        <pivotArea type="data" collapsedLevelsAreSubtotals="1" fieldPosition="0">
          <references count="2">
            <reference field="0" count="1" selected="0">
              <x v="0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1">
            <reference field="0" count="1">
              <x v="1"/>
            </reference>
          </references>
        </pivotArea>
        <pivotArea type="data" collapsedLevelsAreSubtotals="1" fieldPosition="0">
          <references count="2">
            <reference field="0" count="1" selected="0">
              <x v="1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1">
            <reference field="0" count="1">
              <x v="2"/>
            </reference>
          </references>
        </pivotArea>
        <pivotArea type="data" collapsedLevelsAreSubtotals="1" fieldPosition="0">
          <references count="2">
            <reference field="0" count="1" selected="0">
              <x v="2"/>
            </reference>
            <reference field="1" count="1">
              <x v="0"/>
            </reference>
          </references>
        </pivotArea>
        <pivotArea type="data" collapsedLevelsAreSubtotals="1" fieldPosition="0">
          <references count="1">
            <reference field="0" count="1">
              <x v="3"/>
            </reference>
          </references>
        </pivotArea>
        <pivotArea type="data" collapsedLevelsAreSubtotals="1" fieldPosition="0">
          <references count="2">
            <reference field="0" count="1" selected="0">
              <x v="3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collapsedLevelsAreSubtotals="1" fieldPosition="0">
          <references count="1">
            <reference field="0" count="1">
              <x v="4"/>
            </reference>
          </references>
        </pivotArea>
        <pivotArea type="data" collapsedLevelsAreSubtotals="1" fieldPosition="0">
          <references count="2">
            <reference field="0" count="1" selected="0">
              <x v="4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1">
            <reference field="0" count="1">
              <x v="5"/>
            </reference>
          </references>
        </pivotArea>
        <pivotArea type="data" collapsedLevelsAreSubtotals="1" fieldPosition="0">
          <references count="2">
            <reference field="0" count="1" selected="0">
              <x v="5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B2B45-C298-467C-BB87-C555566B0569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5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2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RMSD (A)" fld="3" subtotal="average" baseField="2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2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C441D-472C-418A-9301-D0ED5C954ECE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4">
    <pivotField showAll="0"/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nformer" fld="2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76EDE-4DF9-48B1-84B4-A95F4763DC78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H17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RMSD" fld="3" subtotal="average" baseField="1" baseItem="0"/>
  </dataFields>
  <chartFormats count="6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4D270-A884-4301-B03E-9F99E2AACCD7}" name="PivotTable1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3:F71" firstHeaderRow="0" firstDataRow="1" firstDataCol="1"/>
  <pivotFields count="3"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4_chi22" fld="2" subtotal="average" baseField="0" baseItem="0"/>
    <dataField name="StdDev of M4_chi22_2" fld="2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15F72-E733-4654-A044-24FE878EE782}" name="PivotTable10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3"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1_bulgeLoop_RMSD(A)" fld="2" subtotal="average" baseField="1" baseItem="0"/>
    <dataField name="StdDev of M1_bulgeLoop_RMSD(A)" fld="2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D920F-228B-4650-88AB-7E698DAAEAE5}" name="PivotTable1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3"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3_majorGroove(A)" fld="2" subtotal="average" baseField="0" baseItem="0"/>
    <dataField name="StdDev of M3_majorGroove(A)2" fld="2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C1011-6D6D-4860-8198-A828461C1289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0" firstHeaderRow="0" firstDataRow="1" firstDataCol="1"/>
  <pivotFields count="4">
    <pivotField axis="axisRow" showAll="0" sortType="a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7">
    <i>
      <x v="1"/>
    </i>
    <i>
      <x v="4"/>
    </i>
    <i>
      <x v="5"/>
    </i>
    <i>
      <x v="2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MSD" fld="3" subtotal="average" baseField="0" baseItem="0"/>
    <dataField name="StdDev of RMSD2" fld="3" subtotal="stdDev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D2DDC-CD8B-4008-8E58-B79149745AC9}" name="PivotTable9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7" firstHeaderRow="1" firstDataRow="2" firstDataCol="1"/>
  <pivotFields count="5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Max of confid" fld="4" subtotal="max" baseField="1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757F1B-08BB-44D7-8FE1-0987376957EA}" name="Table1" displayName="Table1" ref="A1:D1061" totalsRowShown="0">
  <autoFilter ref="A1:D1061" xr:uid="{FE757F1B-08BB-44D7-8FE1-0987376957EA}"/>
  <tableColumns count="4">
    <tableColumn id="1" xr3:uid="{4AF5A368-4ED8-4835-AE87-BF9C9F081813}" name="Reference"/>
    <tableColumn id="2" xr3:uid="{C2DC5931-2BF7-45D9-A015-50768E531CC0}" name="State">
      <calculatedColumnFormula>COUNTIFS($A$2:A2,A2,$C$2:C2,"conf_1")</calculatedColumnFormula>
    </tableColumn>
    <tableColumn id="3" xr3:uid="{7019CA5D-A09D-439B-9E48-651DCAE8687B}" name="conformer"/>
    <tableColumn id="4" xr3:uid="{216A4E34-E644-4BEA-BEAF-7CBBAFB1C1F5}" name="RMSD (A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9FAD4-E701-4F23-9B03-9F801D7F8B69}">
  <dimension ref="A3:D63"/>
  <sheetViews>
    <sheetView workbookViewId="0">
      <selection activeCell="F18" sqref="F18"/>
    </sheetView>
  </sheetViews>
  <sheetFormatPr defaultRowHeight="14.4" x14ac:dyDescent="0.3"/>
  <cols>
    <col min="1" max="1" width="12.44140625" bestFit="1" customWidth="1"/>
    <col min="2" max="2" width="17.6640625" bestFit="1" customWidth="1"/>
    <col min="3" max="3" width="18.109375" bestFit="1" customWidth="1"/>
    <col min="4" max="4" width="15" bestFit="1" customWidth="1"/>
  </cols>
  <sheetData>
    <row r="3" spans="1:4" x14ac:dyDescent="0.3">
      <c r="A3" s="1" t="s">
        <v>25</v>
      </c>
      <c r="B3" t="s">
        <v>27</v>
      </c>
      <c r="C3" t="s">
        <v>28</v>
      </c>
      <c r="D3" t="s">
        <v>29</v>
      </c>
    </row>
    <row r="4" spans="1:4" x14ac:dyDescent="0.3">
      <c r="A4" s="2">
        <v>1</v>
      </c>
      <c r="B4" s="4">
        <v>0.47961499999999957</v>
      </c>
      <c r="C4" s="4">
        <v>0.24247494151212196</v>
      </c>
      <c r="D4" s="4">
        <v>7.8E-2</v>
      </c>
    </row>
    <row r="5" spans="1:4" x14ac:dyDescent="0.3">
      <c r="A5" s="3">
        <v>1</v>
      </c>
      <c r="B5" s="4">
        <v>0.47755000000000003</v>
      </c>
      <c r="C5" s="4">
        <v>0.24937848533377621</v>
      </c>
      <c r="D5" s="4">
        <v>9.1999999999999998E-2</v>
      </c>
    </row>
    <row r="6" spans="1:4" x14ac:dyDescent="0.3">
      <c r="A6" s="3">
        <v>2</v>
      </c>
      <c r="B6" s="4">
        <v>0.47675000000000001</v>
      </c>
      <c r="C6" s="4">
        <v>0.25477128545959982</v>
      </c>
      <c r="D6" s="4">
        <v>9.2999999999999999E-2</v>
      </c>
    </row>
    <row r="7" spans="1:4" x14ac:dyDescent="0.3">
      <c r="A7" s="3">
        <v>3</v>
      </c>
      <c r="B7" s="4">
        <v>0.48105000000000003</v>
      </c>
      <c r="C7" s="4">
        <v>0.24821923141067301</v>
      </c>
      <c r="D7" s="4">
        <v>0.108</v>
      </c>
    </row>
    <row r="8" spans="1:4" x14ac:dyDescent="0.3">
      <c r="A8" s="3">
        <v>4</v>
      </c>
      <c r="B8" s="4">
        <v>0.48014999999999997</v>
      </c>
      <c r="C8" s="4">
        <v>0.24302832301909513</v>
      </c>
      <c r="D8" s="4">
        <v>0.113</v>
      </c>
    </row>
    <row r="9" spans="1:4" x14ac:dyDescent="0.3">
      <c r="A9" s="3">
        <v>5</v>
      </c>
      <c r="B9" s="4">
        <v>0.47650000000000003</v>
      </c>
      <c r="C9" s="4">
        <v>0.24279328439511733</v>
      </c>
      <c r="D9" s="4">
        <v>0.11600000000000001</v>
      </c>
    </row>
    <row r="10" spans="1:4" x14ac:dyDescent="0.3">
      <c r="A10" s="3">
        <v>6</v>
      </c>
      <c r="B10" s="4">
        <v>0.47399999999999987</v>
      </c>
      <c r="C10" s="4">
        <v>0.24469293324276375</v>
      </c>
      <c r="D10" s="4">
        <v>0.11</v>
      </c>
    </row>
    <row r="11" spans="1:4" x14ac:dyDescent="0.3">
      <c r="A11" s="3">
        <v>7</v>
      </c>
      <c r="B11" s="4">
        <v>0.48794999999999999</v>
      </c>
      <c r="C11" s="4">
        <v>0.24129703795595131</v>
      </c>
      <c r="D11" s="4">
        <v>0.112</v>
      </c>
    </row>
    <row r="12" spans="1:4" x14ac:dyDescent="0.3">
      <c r="A12" s="3">
        <v>8</v>
      </c>
      <c r="B12" s="4">
        <v>0.48354999999999998</v>
      </c>
      <c r="C12" s="4">
        <v>0.2641222753116243</v>
      </c>
      <c r="D12" s="4">
        <v>7.8E-2</v>
      </c>
    </row>
    <row r="13" spans="1:4" x14ac:dyDescent="0.3">
      <c r="A13" s="3">
        <v>9</v>
      </c>
      <c r="B13" s="4">
        <v>0.48130000000000006</v>
      </c>
      <c r="C13" s="4">
        <v>0.24428846192888215</v>
      </c>
      <c r="D13" s="4">
        <v>0.111</v>
      </c>
    </row>
    <row r="14" spans="1:4" x14ac:dyDescent="0.3">
      <c r="A14" s="3">
        <v>10</v>
      </c>
      <c r="B14" s="4">
        <v>0.47734999999999983</v>
      </c>
      <c r="C14" s="4">
        <v>0.24774079726920054</v>
      </c>
      <c r="D14" s="4">
        <v>0.109</v>
      </c>
    </row>
    <row r="15" spans="1:4" x14ac:dyDescent="0.3">
      <c r="A15" s="2">
        <v>2</v>
      </c>
      <c r="B15" s="4">
        <v>0.46133000000000024</v>
      </c>
      <c r="C15" s="4">
        <v>0.24877486966913304</v>
      </c>
      <c r="D15" s="4">
        <v>2.1999999999999999E-2</v>
      </c>
    </row>
    <row r="16" spans="1:4" x14ac:dyDescent="0.3">
      <c r="A16" s="3">
        <v>1</v>
      </c>
      <c r="B16" s="4">
        <v>0.46049999999999996</v>
      </c>
      <c r="C16" s="4">
        <v>0.25521415156275096</v>
      </c>
      <c r="D16" s="4">
        <v>2.5999999999999999E-2</v>
      </c>
    </row>
    <row r="17" spans="1:4" x14ac:dyDescent="0.3">
      <c r="A17" s="3">
        <v>2</v>
      </c>
      <c r="B17" s="4">
        <v>0.46175000000000005</v>
      </c>
      <c r="C17" s="4">
        <v>0.24835837328132759</v>
      </c>
      <c r="D17" s="4">
        <v>7.0000000000000007E-2</v>
      </c>
    </row>
    <row r="18" spans="1:4" x14ac:dyDescent="0.3">
      <c r="A18" s="3">
        <v>3</v>
      </c>
      <c r="B18" s="4">
        <v>0.46219999999999989</v>
      </c>
      <c r="C18" s="4">
        <v>0.25532592174667573</v>
      </c>
      <c r="D18" s="4">
        <v>4.3999999999999997E-2</v>
      </c>
    </row>
    <row r="19" spans="1:4" x14ac:dyDescent="0.3">
      <c r="A19" s="3">
        <v>4</v>
      </c>
      <c r="B19" s="4">
        <v>0.46125000000000005</v>
      </c>
      <c r="C19" s="4">
        <v>0.25300590278115115</v>
      </c>
      <c r="D19" s="4">
        <v>0.05</v>
      </c>
    </row>
    <row r="20" spans="1:4" x14ac:dyDescent="0.3">
      <c r="A20" s="3">
        <v>5</v>
      </c>
      <c r="B20" s="4">
        <v>0.46010000000000001</v>
      </c>
      <c r="C20" s="4">
        <v>0.25461237824955563</v>
      </c>
      <c r="D20" s="4">
        <v>2.5000000000000001E-2</v>
      </c>
    </row>
    <row r="21" spans="1:4" x14ac:dyDescent="0.3">
      <c r="A21" s="3">
        <v>6</v>
      </c>
      <c r="B21" s="4">
        <v>0.46095000000000008</v>
      </c>
      <c r="C21" s="4">
        <v>0.25568246651698767</v>
      </c>
      <c r="D21" s="4">
        <v>2.5000000000000001E-2</v>
      </c>
    </row>
    <row r="22" spans="1:4" x14ac:dyDescent="0.3">
      <c r="A22" s="3">
        <v>7</v>
      </c>
      <c r="B22" s="4">
        <v>0.46115000000000012</v>
      </c>
      <c r="C22" s="4">
        <v>0.25585630732893783</v>
      </c>
      <c r="D22" s="4">
        <v>2.4E-2</v>
      </c>
    </row>
    <row r="23" spans="1:4" x14ac:dyDescent="0.3">
      <c r="A23" s="3">
        <v>8</v>
      </c>
      <c r="B23" s="4">
        <v>0.45939999999999992</v>
      </c>
      <c r="C23" s="4">
        <v>0.25354380914921743</v>
      </c>
      <c r="D23" s="4">
        <v>2.7E-2</v>
      </c>
    </row>
    <row r="24" spans="1:4" x14ac:dyDescent="0.3">
      <c r="A24" s="3">
        <v>9</v>
      </c>
      <c r="B24" s="4">
        <v>0.46369999999999995</v>
      </c>
      <c r="C24" s="4">
        <v>0.25664538303187734</v>
      </c>
      <c r="D24" s="4">
        <v>3.9E-2</v>
      </c>
    </row>
    <row r="25" spans="1:4" x14ac:dyDescent="0.3">
      <c r="A25" s="3">
        <v>10</v>
      </c>
      <c r="B25" s="4">
        <v>0.4623000000000001</v>
      </c>
      <c r="C25" s="4">
        <v>0.25759783016412052</v>
      </c>
      <c r="D25" s="4">
        <v>2.1999999999999999E-2</v>
      </c>
    </row>
    <row r="26" spans="1:4" x14ac:dyDescent="0.3">
      <c r="A26" s="2">
        <v>3</v>
      </c>
      <c r="B26" s="4">
        <v>0.50879999999999981</v>
      </c>
      <c r="C26" s="4">
        <v>0.27127178059534429</v>
      </c>
      <c r="D26" s="4">
        <v>7.4999999999999997E-2</v>
      </c>
    </row>
    <row r="27" spans="1:4" x14ac:dyDescent="0.3">
      <c r="A27" s="3">
        <v>1</v>
      </c>
      <c r="B27" s="4">
        <v>0.50879999999999981</v>
      </c>
      <c r="C27" s="4">
        <v>0.27127178059534429</v>
      </c>
      <c r="D27" s="4">
        <v>7.4999999999999997E-2</v>
      </c>
    </row>
    <row r="28" spans="1:4" x14ac:dyDescent="0.3">
      <c r="A28" s="2">
        <v>4</v>
      </c>
      <c r="B28" s="4">
        <v>0.47374583333333337</v>
      </c>
      <c r="C28" s="4">
        <v>0.24381853715840446</v>
      </c>
      <c r="D28" s="4">
        <v>6.5000000000000002E-2</v>
      </c>
    </row>
    <row r="29" spans="1:4" x14ac:dyDescent="0.3">
      <c r="A29" s="3">
        <v>1</v>
      </c>
      <c r="B29" s="4">
        <v>0.47360000000000008</v>
      </c>
      <c r="C29" s="4">
        <v>0.24779053123237163</v>
      </c>
      <c r="D29" s="4">
        <v>9.4E-2</v>
      </c>
    </row>
    <row r="30" spans="1:4" x14ac:dyDescent="0.3">
      <c r="A30" s="3">
        <v>2</v>
      </c>
      <c r="B30" s="4">
        <v>0.47454999999999997</v>
      </c>
      <c r="C30" s="4">
        <v>0.25213560991949108</v>
      </c>
      <c r="D30" s="4">
        <v>6.8000000000000005E-2</v>
      </c>
    </row>
    <row r="31" spans="1:4" x14ac:dyDescent="0.3">
      <c r="A31" s="3">
        <v>3</v>
      </c>
      <c r="B31" s="4">
        <v>0.47520000000000007</v>
      </c>
      <c r="C31" s="4">
        <v>0.25300854988673704</v>
      </c>
      <c r="D31" s="4">
        <v>6.7000000000000004E-2</v>
      </c>
    </row>
    <row r="32" spans="1:4" x14ac:dyDescent="0.3">
      <c r="A32" s="3">
        <v>4</v>
      </c>
      <c r="B32" s="4">
        <v>0.47420000000000007</v>
      </c>
      <c r="C32" s="4">
        <v>0.24835873883939474</v>
      </c>
      <c r="D32" s="4">
        <v>9.5000000000000001E-2</v>
      </c>
    </row>
    <row r="33" spans="1:4" x14ac:dyDescent="0.3">
      <c r="A33" s="3">
        <v>5</v>
      </c>
      <c r="B33" s="4">
        <v>0.47260000000000008</v>
      </c>
      <c r="C33" s="4">
        <v>0.25960646330450565</v>
      </c>
      <c r="D33" s="4">
        <v>6.5000000000000002E-2</v>
      </c>
    </row>
    <row r="34" spans="1:4" x14ac:dyDescent="0.3">
      <c r="A34" s="3">
        <v>6</v>
      </c>
      <c r="B34" s="4">
        <v>0.47220000000000023</v>
      </c>
      <c r="C34" s="4">
        <v>0.25922690731034082</v>
      </c>
      <c r="D34" s="4">
        <v>6.5000000000000002E-2</v>
      </c>
    </row>
    <row r="35" spans="1:4" x14ac:dyDescent="0.3">
      <c r="A35" s="3">
        <v>7</v>
      </c>
      <c r="B35" s="4">
        <v>0.46849999999999997</v>
      </c>
      <c r="C35" s="4">
        <v>0.23940265574748237</v>
      </c>
      <c r="D35" s="4">
        <v>0.09</v>
      </c>
    </row>
    <row r="36" spans="1:4" x14ac:dyDescent="0.3">
      <c r="A36" s="3">
        <v>8</v>
      </c>
      <c r="B36" s="4">
        <v>0.47165000000000018</v>
      </c>
      <c r="C36" s="4">
        <v>0.24465922057123887</v>
      </c>
      <c r="D36" s="4">
        <v>9.4E-2</v>
      </c>
    </row>
    <row r="37" spans="1:4" x14ac:dyDescent="0.3">
      <c r="A37" s="3">
        <v>9</v>
      </c>
      <c r="B37" s="4">
        <v>0.46895000000000009</v>
      </c>
      <c r="C37" s="4">
        <v>0.23959515745040477</v>
      </c>
      <c r="D37" s="4">
        <v>8.8999999999999996E-2</v>
      </c>
    </row>
    <row r="38" spans="1:4" x14ac:dyDescent="0.3">
      <c r="A38" s="3">
        <v>10</v>
      </c>
      <c r="B38" s="4">
        <v>0.47474999999999995</v>
      </c>
      <c r="C38" s="4">
        <v>0.24916193740744524</v>
      </c>
      <c r="D38" s="4">
        <v>9.6000000000000002E-2</v>
      </c>
    </row>
    <row r="39" spans="1:4" x14ac:dyDescent="0.3">
      <c r="A39" s="3">
        <v>11</v>
      </c>
      <c r="B39" s="4">
        <v>0.48260000000000003</v>
      </c>
      <c r="C39" s="4">
        <v>0.25743724835793519</v>
      </c>
      <c r="D39" s="4">
        <v>7.0999999999999994E-2</v>
      </c>
    </row>
    <row r="40" spans="1:4" x14ac:dyDescent="0.3">
      <c r="A40" s="3">
        <v>12</v>
      </c>
      <c r="B40" s="4">
        <v>0.47614999999999996</v>
      </c>
      <c r="C40" s="4">
        <v>0.24379699816812661</v>
      </c>
      <c r="D40" s="4">
        <v>0.10299999999999999</v>
      </c>
    </row>
    <row r="41" spans="1:4" x14ac:dyDescent="0.3">
      <c r="A41" s="2">
        <v>5</v>
      </c>
      <c r="B41" s="4">
        <v>0.48669500000000021</v>
      </c>
      <c r="C41" s="4">
        <v>0.27038805535264804</v>
      </c>
      <c r="D41" s="4">
        <v>5.8000000000000003E-2</v>
      </c>
    </row>
    <row r="42" spans="1:4" x14ac:dyDescent="0.3">
      <c r="A42" s="3">
        <v>1</v>
      </c>
      <c r="B42" s="4">
        <v>0.48659999999999998</v>
      </c>
      <c r="C42" s="4">
        <v>0.27669047878926284</v>
      </c>
      <c r="D42" s="4">
        <v>6.0999999999999999E-2</v>
      </c>
    </row>
    <row r="43" spans="1:4" x14ac:dyDescent="0.3">
      <c r="A43" s="3">
        <v>2</v>
      </c>
      <c r="B43" s="4">
        <v>0.48749999999999993</v>
      </c>
      <c r="C43" s="4">
        <v>0.27706516429020445</v>
      </c>
      <c r="D43" s="4">
        <v>6.2E-2</v>
      </c>
    </row>
    <row r="44" spans="1:4" x14ac:dyDescent="0.3">
      <c r="A44" s="3">
        <v>3</v>
      </c>
      <c r="B44" s="4">
        <v>0.48650000000000004</v>
      </c>
      <c r="C44" s="4">
        <v>0.27617319127487244</v>
      </c>
      <c r="D44" s="4">
        <v>5.8999999999999997E-2</v>
      </c>
    </row>
    <row r="45" spans="1:4" x14ac:dyDescent="0.3">
      <c r="A45" s="3">
        <v>4</v>
      </c>
      <c r="B45" s="4">
        <v>0.48765000000000003</v>
      </c>
      <c r="C45" s="4">
        <v>0.27651044997860119</v>
      </c>
      <c r="D45" s="4">
        <v>5.8000000000000003E-2</v>
      </c>
    </row>
    <row r="46" spans="1:4" x14ac:dyDescent="0.3">
      <c r="A46" s="3">
        <v>5</v>
      </c>
      <c r="B46" s="4">
        <v>0.48709999999999998</v>
      </c>
      <c r="C46" s="4">
        <v>0.27763453827307816</v>
      </c>
      <c r="D46" s="4">
        <v>0.06</v>
      </c>
    </row>
    <row r="47" spans="1:4" x14ac:dyDescent="0.3">
      <c r="A47" s="3">
        <v>6</v>
      </c>
      <c r="B47" s="4">
        <v>0.48559999999999992</v>
      </c>
      <c r="C47" s="4">
        <v>0.27639776829017548</v>
      </c>
      <c r="D47" s="4">
        <v>0.06</v>
      </c>
    </row>
    <row r="48" spans="1:4" x14ac:dyDescent="0.3">
      <c r="A48" s="3">
        <v>7</v>
      </c>
      <c r="B48" s="4">
        <v>0.48619999999999991</v>
      </c>
      <c r="C48" s="4">
        <v>0.27678313760624562</v>
      </c>
      <c r="D48" s="4">
        <v>6.0999999999999999E-2</v>
      </c>
    </row>
    <row r="49" spans="1:4" x14ac:dyDescent="0.3">
      <c r="A49" s="3">
        <v>8</v>
      </c>
      <c r="B49" s="4">
        <v>0.48770000000000008</v>
      </c>
      <c r="C49" s="4">
        <v>0.27679331068886975</v>
      </c>
      <c r="D49" s="4">
        <v>0.06</v>
      </c>
    </row>
    <row r="50" spans="1:4" x14ac:dyDescent="0.3">
      <c r="A50" s="3">
        <v>9</v>
      </c>
      <c r="B50" s="4">
        <v>0.48669999999999991</v>
      </c>
      <c r="C50" s="4">
        <v>0.27668604666851682</v>
      </c>
      <c r="D50" s="4">
        <v>0.06</v>
      </c>
    </row>
    <row r="51" spans="1:4" x14ac:dyDescent="0.3">
      <c r="A51" s="3">
        <v>10</v>
      </c>
      <c r="B51" s="4">
        <v>0.48540000000000011</v>
      </c>
      <c r="C51" s="4">
        <v>0.27643089933157433</v>
      </c>
      <c r="D51" s="4">
        <v>0.06</v>
      </c>
    </row>
    <row r="52" spans="1:4" x14ac:dyDescent="0.3">
      <c r="A52" s="2">
        <v>6</v>
      </c>
      <c r="B52" s="4">
        <v>0.42004500000000006</v>
      </c>
      <c r="C52" s="4">
        <v>0.21238029551872975</v>
      </c>
      <c r="D52" s="4">
        <v>5.1999999999999998E-2</v>
      </c>
    </row>
    <row r="53" spans="1:4" x14ac:dyDescent="0.3">
      <c r="A53" s="3">
        <v>1</v>
      </c>
      <c r="B53" s="4">
        <v>0.41689999999999994</v>
      </c>
      <c r="C53" s="4">
        <v>0.21710945578088889</v>
      </c>
      <c r="D53" s="4">
        <v>5.3999999999999999E-2</v>
      </c>
    </row>
    <row r="54" spans="1:4" x14ac:dyDescent="0.3">
      <c r="A54" s="3">
        <v>2</v>
      </c>
      <c r="B54" s="4">
        <v>0.42784999999999995</v>
      </c>
      <c r="C54" s="4">
        <v>0.22575330620648271</v>
      </c>
      <c r="D54" s="4">
        <v>5.1999999999999998E-2</v>
      </c>
    </row>
    <row r="55" spans="1:4" x14ac:dyDescent="0.3">
      <c r="A55" s="3">
        <v>3</v>
      </c>
      <c r="B55" s="4">
        <v>0.39525000000000005</v>
      </c>
      <c r="C55" s="4">
        <v>0.20017541649368681</v>
      </c>
      <c r="D55" s="4">
        <v>5.7000000000000002E-2</v>
      </c>
    </row>
    <row r="56" spans="1:4" x14ac:dyDescent="0.3">
      <c r="A56" s="3">
        <v>4</v>
      </c>
      <c r="B56" s="4">
        <v>0.44924999999999987</v>
      </c>
      <c r="C56" s="4">
        <v>0.2341373584705761</v>
      </c>
      <c r="D56" s="4">
        <v>5.5E-2</v>
      </c>
    </row>
    <row r="57" spans="1:4" x14ac:dyDescent="0.3">
      <c r="A57" s="3">
        <v>5</v>
      </c>
      <c r="B57" s="4">
        <v>0.40629999999999988</v>
      </c>
      <c r="C57" s="4">
        <v>0.20944540803600475</v>
      </c>
      <c r="D57" s="4">
        <v>5.6000000000000001E-2</v>
      </c>
    </row>
    <row r="58" spans="1:4" x14ac:dyDescent="0.3">
      <c r="A58" s="3">
        <v>6</v>
      </c>
      <c r="B58" s="4">
        <v>0.43025000000000013</v>
      </c>
      <c r="C58" s="4">
        <v>0.2211895769410672</v>
      </c>
      <c r="D58" s="4">
        <v>8.5999999999999993E-2</v>
      </c>
    </row>
    <row r="59" spans="1:4" x14ac:dyDescent="0.3">
      <c r="A59" s="3">
        <v>7</v>
      </c>
      <c r="B59" s="4">
        <v>0.42949999999999999</v>
      </c>
      <c r="C59" s="4">
        <v>0.22223328188853131</v>
      </c>
      <c r="D59" s="4">
        <v>8.3000000000000004E-2</v>
      </c>
    </row>
    <row r="60" spans="1:4" x14ac:dyDescent="0.3">
      <c r="A60" s="3">
        <v>8</v>
      </c>
      <c r="B60" s="4">
        <v>0.42860000000000004</v>
      </c>
      <c r="C60" s="4">
        <v>0.22253785012182098</v>
      </c>
      <c r="D60" s="4">
        <v>5.6000000000000001E-2</v>
      </c>
    </row>
    <row r="61" spans="1:4" x14ac:dyDescent="0.3">
      <c r="A61" s="3">
        <v>9</v>
      </c>
      <c r="B61" s="4">
        <v>0.41915000000000013</v>
      </c>
      <c r="C61" s="4">
        <v>0.21475378190407993</v>
      </c>
      <c r="D61" s="4">
        <v>8.5000000000000006E-2</v>
      </c>
    </row>
    <row r="62" spans="1:4" x14ac:dyDescent="0.3">
      <c r="A62" s="3">
        <v>10</v>
      </c>
      <c r="B62" s="4">
        <v>0.39740000000000003</v>
      </c>
      <c r="C62" s="4">
        <v>0.19739844824218108</v>
      </c>
      <c r="D62" s="4">
        <v>8.7999999999999995E-2</v>
      </c>
    </row>
    <row r="63" spans="1:4" x14ac:dyDescent="0.3">
      <c r="A63" s="2" t="s">
        <v>26</v>
      </c>
      <c r="B63" s="4">
        <v>0.46548301886792481</v>
      </c>
      <c r="C63" s="4">
        <v>0.24534778209278033</v>
      </c>
      <c r="D63" s="4">
        <v>2.1999999999999999E-2</v>
      </c>
    </row>
  </sheetData>
  <conditionalFormatting pivot="1" sqref="B5:D14 B15:D15 B16:D25 B26:D26 B27:D27 B28:D28 B29:D40 B41:D41 B42:D51 B52:D52 B53:D62">
    <cfRule type="colorScale" priority="5">
      <colorScale>
        <cfvo type="min"/>
        <cfvo type="max"/>
        <color rgb="FF63BE7B"/>
        <color rgb="FFFCFCFF"/>
      </colorScale>
    </cfRule>
  </conditionalFormatting>
  <conditionalFormatting pivot="1" sqref="B5:B14">
    <cfRule type="colorScale" priority="4">
      <colorScale>
        <cfvo type="min"/>
        <cfvo type="max"/>
        <color rgb="FF63BE7B"/>
        <color rgb="FFFCFCFF"/>
      </colorScale>
    </cfRule>
  </conditionalFormatting>
  <conditionalFormatting pivot="1" sqref="C5:C14">
    <cfRule type="colorScale" priority="3">
      <colorScale>
        <cfvo type="min"/>
        <cfvo type="max"/>
        <color rgb="FF63BE7B"/>
        <color rgb="FFFCFCFF"/>
      </colorScale>
    </cfRule>
  </conditionalFormatting>
  <conditionalFormatting pivot="1" sqref="D5:D14">
    <cfRule type="colorScale" priority="2">
      <colorScale>
        <cfvo type="min"/>
        <cfvo type="max"/>
        <color rgb="FF63BE7B"/>
        <color rgb="FFFCFCFF"/>
      </colorScale>
    </cfRule>
  </conditionalFormatting>
  <conditionalFormatting pivot="1" sqref="B5:D14 B15:D15 B16:D25 B26:D26 B27:D27 B28:D28 B29:D40 B41:D41 B42:D51 B52:D52 B53:D6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3C8DC-2AB0-47EF-A9C9-3E7857DC29AD}">
  <dimension ref="A3:H25"/>
  <sheetViews>
    <sheetView topLeftCell="A3" workbookViewId="0">
      <selection activeCell="L29" sqref="L29"/>
    </sheetView>
  </sheetViews>
  <sheetFormatPr defaultRowHeight="14.4" x14ac:dyDescent="0.3"/>
  <cols>
    <col min="1" max="1" width="17.6640625" bestFit="1" customWidth="1"/>
    <col min="2" max="2" width="15.5546875" bestFit="1" customWidth="1"/>
    <col min="3" max="3" width="8" bestFit="1" customWidth="1"/>
    <col min="4" max="4" width="7" bestFit="1" customWidth="1"/>
    <col min="5" max="5" width="12" bestFit="1" customWidth="1"/>
    <col min="6" max="7" width="9" bestFit="1" customWidth="1"/>
    <col min="8" max="8" width="12" bestFit="1" customWidth="1"/>
  </cols>
  <sheetData>
    <row r="3" spans="1:8" x14ac:dyDescent="0.3">
      <c r="A3" s="1" t="s">
        <v>27</v>
      </c>
      <c r="B3" s="1" t="s">
        <v>30</v>
      </c>
    </row>
    <row r="4" spans="1:8" x14ac:dyDescent="0.3">
      <c r="A4" s="1" t="s">
        <v>25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 t="s">
        <v>26</v>
      </c>
    </row>
    <row r="5" spans="1:8" x14ac:dyDescent="0.3">
      <c r="A5" s="2" t="s">
        <v>3</v>
      </c>
      <c r="B5" s="4">
        <v>0.68830000000000013</v>
      </c>
      <c r="C5" s="4">
        <v>0.66910000000000003</v>
      </c>
      <c r="D5" s="4">
        <v>0.73799999999999999</v>
      </c>
      <c r="E5" s="4">
        <v>0.67633333333333334</v>
      </c>
      <c r="F5" s="4">
        <v>0.71679999999999988</v>
      </c>
      <c r="G5" s="4">
        <v>0.6089</v>
      </c>
      <c r="H5" s="4">
        <v>0.67330188679245273</v>
      </c>
    </row>
    <row r="6" spans="1:8" x14ac:dyDescent="0.3">
      <c r="A6" s="2" t="s">
        <v>12</v>
      </c>
      <c r="B6" s="4">
        <v>0.68979999999999997</v>
      </c>
      <c r="C6" s="4">
        <v>0.66739999999999999</v>
      </c>
      <c r="D6" s="4">
        <v>0.73799999999999999</v>
      </c>
      <c r="E6" s="4">
        <v>0.67425000000000013</v>
      </c>
      <c r="F6" s="4">
        <v>0.71679999999999988</v>
      </c>
      <c r="G6" s="4">
        <v>0.54270000000000007</v>
      </c>
      <c r="H6" s="4">
        <v>0.66030188679245283</v>
      </c>
    </row>
    <row r="7" spans="1:8" x14ac:dyDescent="0.3">
      <c r="A7" s="2" t="s">
        <v>13</v>
      </c>
      <c r="B7" s="4">
        <v>0.66920000000000002</v>
      </c>
      <c r="C7" s="4">
        <v>0.65340000000000009</v>
      </c>
      <c r="D7" s="4">
        <v>0.71699999999999997</v>
      </c>
      <c r="E7" s="4">
        <v>0.66058333333333341</v>
      </c>
      <c r="F7" s="4">
        <v>0.69789999999999996</v>
      </c>
      <c r="G7" s="4">
        <v>0.63519999999999999</v>
      </c>
      <c r="H7" s="4">
        <v>0.66416981132075481</v>
      </c>
    </row>
    <row r="8" spans="1:8" x14ac:dyDescent="0.3">
      <c r="A8" s="2" t="s">
        <v>14</v>
      </c>
      <c r="B8" s="4">
        <v>0.11269999999999999</v>
      </c>
      <c r="C8" s="4">
        <v>3.6300000000000006E-2</v>
      </c>
      <c r="D8" s="4">
        <v>0.11899999999999999</v>
      </c>
      <c r="E8" s="4">
        <v>0.12449999999999999</v>
      </c>
      <c r="F8" s="4">
        <v>6.2400000000000011E-2</v>
      </c>
      <c r="G8" s="4">
        <v>0.127</v>
      </c>
      <c r="H8" s="4">
        <v>9.428301886792452E-2</v>
      </c>
    </row>
    <row r="9" spans="1:8" x14ac:dyDescent="0.3">
      <c r="A9" s="2" t="s">
        <v>15</v>
      </c>
      <c r="B9" s="4">
        <v>0.70469999999999988</v>
      </c>
      <c r="C9" s="4">
        <v>0.68200000000000005</v>
      </c>
      <c r="D9" s="4">
        <v>0.752</v>
      </c>
      <c r="E9" s="4">
        <v>0.68766666666666676</v>
      </c>
      <c r="F9" s="4">
        <v>0.73170000000000002</v>
      </c>
      <c r="G9" s="4">
        <v>0.60209999999999997</v>
      </c>
      <c r="H9" s="4">
        <v>0.68318867924528337</v>
      </c>
    </row>
    <row r="10" spans="1:8" x14ac:dyDescent="0.3">
      <c r="A10" s="2" t="s">
        <v>16</v>
      </c>
      <c r="B10" s="4">
        <v>0.12240000000000002</v>
      </c>
      <c r="C10" s="4">
        <v>7.1999999999999995E-2</v>
      </c>
      <c r="D10" s="4">
        <v>0.14899999999999999</v>
      </c>
      <c r="E10" s="4">
        <v>8.4000000000000005E-2</v>
      </c>
      <c r="F10" s="4">
        <v>0.1123</v>
      </c>
      <c r="G10" s="4">
        <v>6.7199999999999996E-2</v>
      </c>
      <c r="H10" s="4">
        <v>9.2377358490566081E-2</v>
      </c>
    </row>
    <row r="11" spans="1:8" x14ac:dyDescent="0.3">
      <c r="A11" s="2" t="s">
        <v>17</v>
      </c>
      <c r="B11" s="4">
        <v>0.22140000000000004</v>
      </c>
      <c r="C11" s="4">
        <v>0.17679999999999998</v>
      </c>
      <c r="D11" s="4">
        <v>0.26</v>
      </c>
      <c r="E11" s="4">
        <v>0.12041666666666667</v>
      </c>
      <c r="F11" s="4">
        <v>0.22880000000000003</v>
      </c>
      <c r="G11" s="4">
        <v>0.15579999999999999</v>
      </c>
      <c r="H11" s="4">
        <v>0.17986792452830191</v>
      </c>
    </row>
    <row r="12" spans="1:8" x14ac:dyDescent="0.3">
      <c r="A12" s="2" t="s">
        <v>18</v>
      </c>
      <c r="B12" s="4">
        <v>0.1487</v>
      </c>
      <c r="C12" s="4">
        <v>0.15899999999999997</v>
      </c>
      <c r="D12" s="4">
        <v>0.12</v>
      </c>
      <c r="E12" s="4">
        <v>0.19900000000000004</v>
      </c>
      <c r="F12" s="4">
        <v>8.2799999999999999E-2</v>
      </c>
      <c r="G12" s="4">
        <v>0.20820000000000002</v>
      </c>
      <c r="H12" s="4">
        <v>0.16028301886792454</v>
      </c>
    </row>
    <row r="13" spans="1:8" x14ac:dyDescent="0.3">
      <c r="A13" s="2" t="s">
        <v>19</v>
      </c>
      <c r="B13" s="4">
        <v>0.65380000000000016</v>
      </c>
      <c r="C13" s="4">
        <v>0.6372000000000001</v>
      </c>
      <c r="D13" s="4">
        <v>0.70399999999999996</v>
      </c>
      <c r="E13" s="4">
        <v>0.64916666666666678</v>
      </c>
      <c r="F13" s="4">
        <v>0.68030000000000002</v>
      </c>
      <c r="G13" s="4">
        <v>0.43330000000000002</v>
      </c>
      <c r="H13" s="4">
        <v>0.61396226415094335</v>
      </c>
    </row>
    <row r="14" spans="1:8" x14ac:dyDescent="0.3">
      <c r="A14" s="2" t="s">
        <v>20</v>
      </c>
      <c r="B14" s="4">
        <v>0.68010000000000015</v>
      </c>
      <c r="C14" s="4">
        <v>0.65800000000000014</v>
      </c>
      <c r="D14" s="4">
        <v>0.72899999999999998</v>
      </c>
      <c r="E14" s="4">
        <v>0.66725000000000001</v>
      </c>
      <c r="F14" s="4">
        <v>0.70640000000000003</v>
      </c>
      <c r="G14" s="4">
        <v>0.44930000000000003</v>
      </c>
      <c r="H14" s="4">
        <v>0.63535849056603755</v>
      </c>
    </row>
    <row r="15" spans="1:8" x14ac:dyDescent="0.3">
      <c r="A15" s="2" t="s">
        <v>21</v>
      </c>
      <c r="B15" s="4">
        <v>0.15859999999999999</v>
      </c>
      <c r="C15" s="4">
        <v>0.16919999999999999</v>
      </c>
      <c r="D15" s="4">
        <v>0.122</v>
      </c>
      <c r="E15" s="4">
        <v>0.18916666666666668</v>
      </c>
      <c r="F15" s="4">
        <v>0.10900000000000001</v>
      </c>
      <c r="G15" s="4">
        <v>0.22170000000000001</v>
      </c>
      <c r="H15" s="4">
        <v>0.16937735849056607</v>
      </c>
    </row>
    <row r="16" spans="1:8" x14ac:dyDescent="0.3">
      <c r="A16" s="2" t="s">
        <v>4</v>
      </c>
      <c r="B16" s="4">
        <v>0.61959999999999993</v>
      </c>
      <c r="C16" s="4">
        <v>0.61489999999999989</v>
      </c>
      <c r="D16" s="4">
        <v>0.65700000000000003</v>
      </c>
      <c r="E16" s="4">
        <v>0.62458333333333327</v>
      </c>
      <c r="F16" s="4">
        <v>0.6452</v>
      </c>
      <c r="G16" s="4">
        <v>0.60470000000000002</v>
      </c>
      <c r="H16" s="4">
        <v>0.62256603773584895</v>
      </c>
    </row>
    <row r="17" spans="1:8" x14ac:dyDescent="0.3">
      <c r="A17" s="2" t="s">
        <v>22</v>
      </c>
      <c r="B17" s="4">
        <v>0.1065</v>
      </c>
      <c r="C17" s="4">
        <v>0.12750000000000003</v>
      </c>
      <c r="D17" s="4">
        <v>7.4999999999999997E-2</v>
      </c>
      <c r="E17" s="4">
        <v>0.17191666666666663</v>
      </c>
      <c r="F17" s="4">
        <v>6.0599999999999987E-2</v>
      </c>
      <c r="G17" s="4">
        <v>0.157</v>
      </c>
      <c r="H17" s="4">
        <v>0.12554716981132075</v>
      </c>
    </row>
    <row r="18" spans="1:8" x14ac:dyDescent="0.3">
      <c r="A18" s="2" t="s">
        <v>5</v>
      </c>
      <c r="B18" s="4">
        <v>0.62919999999999998</v>
      </c>
      <c r="C18" s="4">
        <v>0.62169999999999992</v>
      </c>
      <c r="D18" s="4">
        <v>0.67100000000000004</v>
      </c>
      <c r="E18" s="4">
        <v>0.63116666666666665</v>
      </c>
      <c r="F18" s="4">
        <v>0.65660000000000007</v>
      </c>
      <c r="G18" s="4">
        <v>0.60819999999999996</v>
      </c>
      <c r="H18" s="4">
        <v>0.63022641509433952</v>
      </c>
    </row>
    <row r="19" spans="1:8" x14ac:dyDescent="0.3">
      <c r="A19" s="2" t="s">
        <v>6</v>
      </c>
      <c r="B19" s="4">
        <v>0.61519999999999997</v>
      </c>
      <c r="C19" s="4">
        <v>0.60980000000000001</v>
      </c>
      <c r="D19" s="4">
        <v>0.65200000000000002</v>
      </c>
      <c r="E19" s="4">
        <v>0.62</v>
      </c>
      <c r="F19" s="4">
        <v>0.63919999999999999</v>
      </c>
      <c r="G19" s="4">
        <v>0.60030000000000006</v>
      </c>
      <c r="H19" s="4">
        <v>0.61767924528301921</v>
      </c>
    </row>
    <row r="20" spans="1:8" x14ac:dyDescent="0.3">
      <c r="A20" s="2" t="s">
        <v>7</v>
      </c>
      <c r="B20" s="4">
        <v>0.64450000000000007</v>
      </c>
      <c r="C20" s="4">
        <v>0.63139999999999996</v>
      </c>
      <c r="D20" s="4">
        <v>0.68600000000000005</v>
      </c>
      <c r="E20" s="4">
        <v>0.63841666666666663</v>
      </c>
      <c r="F20" s="4">
        <v>0.67120000000000002</v>
      </c>
      <c r="G20" s="4">
        <v>0.61749999999999994</v>
      </c>
      <c r="H20" s="4">
        <v>0.64137735849056599</v>
      </c>
    </row>
    <row r="21" spans="1:8" x14ac:dyDescent="0.3">
      <c r="A21" s="2" t="s">
        <v>8</v>
      </c>
      <c r="B21" s="4">
        <v>0.60909999999999997</v>
      </c>
      <c r="C21" s="4">
        <v>0.61229999999999996</v>
      </c>
      <c r="D21" s="4">
        <v>0.64800000000000002</v>
      </c>
      <c r="E21" s="4">
        <v>0.62558333333333338</v>
      </c>
      <c r="F21" s="4">
        <v>0.63480000000000003</v>
      </c>
      <c r="G21" s="4">
        <v>0.60299999999999998</v>
      </c>
      <c r="H21" s="4">
        <v>0.6178679245283023</v>
      </c>
    </row>
    <row r="22" spans="1:8" x14ac:dyDescent="0.3">
      <c r="A22" s="2" t="s">
        <v>9</v>
      </c>
      <c r="B22" s="4">
        <v>0.20740000000000003</v>
      </c>
      <c r="C22" s="4">
        <v>0.14540000000000003</v>
      </c>
      <c r="D22" s="4">
        <v>0.23499999999999999</v>
      </c>
      <c r="E22" s="4">
        <v>0.12775</v>
      </c>
      <c r="F22" s="4">
        <v>0.21670000000000003</v>
      </c>
      <c r="G22" s="4">
        <v>0.12559999999999999</v>
      </c>
      <c r="H22" s="4">
        <v>0.16450943396226414</v>
      </c>
    </row>
    <row r="23" spans="1:8" x14ac:dyDescent="0.3">
      <c r="A23" s="2" t="s">
        <v>10</v>
      </c>
      <c r="B23" s="4">
        <v>0.6885</v>
      </c>
      <c r="C23" s="4">
        <v>0.66379999999999995</v>
      </c>
      <c r="D23" s="4">
        <v>0.73799999999999999</v>
      </c>
      <c r="E23" s="4">
        <v>0.67325000000000002</v>
      </c>
      <c r="F23" s="4">
        <v>0.71339999999999992</v>
      </c>
      <c r="G23" s="4">
        <v>0.42869999999999997</v>
      </c>
      <c r="H23" s="4">
        <v>0.63700000000000001</v>
      </c>
    </row>
    <row r="24" spans="1:8" x14ac:dyDescent="0.3">
      <c r="A24" s="2" t="s">
        <v>11</v>
      </c>
      <c r="B24" s="4">
        <v>0.62260000000000004</v>
      </c>
      <c r="C24" s="4">
        <v>0.61939999999999995</v>
      </c>
      <c r="D24" s="4">
        <v>0.66600000000000004</v>
      </c>
      <c r="E24" s="4">
        <v>0.62991666666666668</v>
      </c>
      <c r="F24" s="4">
        <v>0.65100000000000002</v>
      </c>
      <c r="G24" s="4">
        <v>0.60450000000000004</v>
      </c>
      <c r="H24" s="4">
        <v>0.62641509433962272</v>
      </c>
    </row>
    <row r="25" spans="1:8" x14ac:dyDescent="0.3">
      <c r="A25" s="2" t="s">
        <v>26</v>
      </c>
      <c r="B25" s="4">
        <v>0.47961499999999985</v>
      </c>
      <c r="C25" s="4">
        <v>0.46133000000000002</v>
      </c>
      <c r="D25" s="4">
        <v>0.50880000000000003</v>
      </c>
      <c r="E25" s="4">
        <v>0.47374583333333348</v>
      </c>
      <c r="F25" s="4">
        <v>0.48669500000000004</v>
      </c>
      <c r="G25" s="4">
        <v>0.420045</v>
      </c>
      <c r="H25" s="4">
        <v>0.46548301886792459</v>
      </c>
    </row>
  </sheetData>
  <conditionalFormatting sqref="A3">
    <cfRule type="colorScale" priority="2">
      <colorScale>
        <cfvo type="min"/>
        <cfvo type="max"/>
        <color rgb="FFC00000"/>
        <color rgb="FF0070C0"/>
      </colorScale>
    </cfRule>
  </conditionalFormatting>
  <conditionalFormatting pivot="1" sqref="B5:H24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2A60-E76A-406F-BA5A-ECDFC66AF0E8}">
  <dimension ref="A1:D1061"/>
  <sheetViews>
    <sheetView workbookViewId="0">
      <selection activeCell="A2" sqref="A2"/>
    </sheetView>
  </sheetViews>
  <sheetFormatPr defaultRowHeight="14.4" x14ac:dyDescent="0.3"/>
  <cols>
    <col min="1" max="1" width="11.21875" customWidth="1"/>
    <col min="3" max="3" width="11.44140625" customWidth="1"/>
    <col min="4" max="4" width="10.5546875" customWidth="1"/>
  </cols>
  <sheetData>
    <row r="1" spans="1:4" x14ac:dyDescent="0.3">
      <c r="A1" t="s">
        <v>24</v>
      </c>
      <c r="B1" t="s">
        <v>0</v>
      </c>
      <c r="C1" t="s">
        <v>23</v>
      </c>
      <c r="D1" t="s">
        <v>2</v>
      </c>
    </row>
    <row r="2" spans="1:4" x14ac:dyDescent="0.3">
      <c r="A2">
        <v>1</v>
      </c>
      <c r="B2">
        <f>COUNTIFS($A$2:A2,A2,$C$2:C2,"conf_1")</f>
        <v>1</v>
      </c>
      <c r="C2" t="s">
        <v>3</v>
      </c>
      <c r="D2">
        <v>0.68700000000000006</v>
      </c>
    </row>
    <row r="3" spans="1:4" x14ac:dyDescent="0.3">
      <c r="A3">
        <v>1</v>
      </c>
      <c r="B3">
        <f>COUNTIFS($A$2:A3,A3,$C$2:C3,"conf_1")</f>
        <v>1</v>
      </c>
      <c r="C3" t="s">
        <v>4</v>
      </c>
      <c r="D3">
        <v>0.61899999999999999</v>
      </c>
    </row>
    <row r="4" spans="1:4" x14ac:dyDescent="0.3">
      <c r="A4">
        <v>1</v>
      </c>
      <c r="B4">
        <f>COUNTIFS($A$2:A4,A4,$C$2:C4,"conf_1")</f>
        <v>1</v>
      </c>
      <c r="C4" t="s">
        <v>5</v>
      </c>
      <c r="D4">
        <v>0.628</v>
      </c>
    </row>
    <row r="5" spans="1:4" x14ac:dyDescent="0.3">
      <c r="A5">
        <v>1</v>
      </c>
      <c r="B5">
        <f>COUNTIFS($A$2:A5,A5,$C$2:C5,"conf_1")</f>
        <v>1</v>
      </c>
      <c r="C5" t="s">
        <v>6</v>
      </c>
      <c r="D5">
        <v>0.61399999999999999</v>
      </c>
    </row>
    <row r="6" spans="1:4" x14ac:dyDescent="0.3">
      <c r="A6">
        <v>1</v>
      </c>
      <c r="B6">
        <f>COUNTIFS($A$2:A6,A6,$C$2:C6,"conf_1")</f>
        <v>1</v>
      </c>
      <c r="C6" t="s">
        <v>7</v>
      </c>
      <c r="D6">
        <v>0.64400000000000002</v>
      </c>
    </row>
    <row r="7" spans="1:4" x14ac:dyDescent="0.3">
      <c r="A7">
        <v>1</v>
      </c>
      <c r="B7">
        <f>COUNTIFS($A$2:A7,A7,$C$2:C7,"conf_1")</f>
        <v>1</v>
      </c>
      <c r="C7" t="s">
        <v>8</v>
      </c>
      <c r="D7">
        <v>0.60699999999999998</v>
      </c>
    </row>
    <row r="8" spans="1:4" x14ac:dyDescent="0.3">
      <c r="A8">
        <v>1</v>
      </c>
      <c r="B8">
        <f>COUNTIFS($A$2:A8,A8,$C$2:C8,"conf_1")</f>
        <v>1</v>
      </c>
      <c r="C8" t="s">
        <v>9</v>
      </c>
      <c r="D8">
        <v>0.20699999999999999</v>
      </c>
    </row>
    <row r="9" spans="1:4" x14ac:dyDescent="0.3">
      <c r="A9">
        <v>1</v>
      </c>
      <c r="B9">
        <f>COUNTIFS($A$2:A9,A9,$C$2:C9,"conf_1")</f>
        <v>1</v>
      </c>
      <c r="C9" t="s">
        <v>10</v>
      </c>
      <c r="D9">
        <v>0.68799999999999994</v>
      </c>
    </row>
    <row r="10" spans="1:4" x14ac:dyDescent="0.3">
      <c r="A10">
        <v>1</v>
      </c>
      <c r="B10">
        <f>COUNTIFS($A$2:A10,A10,$C$2:C10,"conf_1")</f>
        <v>1</v>
      </c>
      <c r="C10" t="s">
        <v>11</v>
      </c>
      <c r="D10">
        <v>0.621</v>
      </c>
    </row>
    <row r="11" spans="1:4" x14ac:dyDescent="0.3">
      <c r="A11">
        <v>1</v>
      </c>
      <c r="B11">
        <f>COUNTIFS($A$2:A11,A11,$C$2:C11,"conf_1")</f>
        <v>1</v>
      </c>
      <c r="C11" t="s">
        <v>12</v>
      </c>
      <c r="D11">
        <v>0.68899999999999995</v>
      </c>
    </row>
    <row r="12" spans="1:4" x14ac:dyDescent="0.3">
      <c r="A12">
        <v>1</v>
      </c>
      <c r="B12">
        <f>COUNTIFS($A$2:A12,A12,$C$2:C12,"conf_1")</f>
        <v>1</v>
      </c>
      <c r="C12" t="s">
        <v>13</v>
      </c>
      <c r="D12">
        <v>0.66800000000000004</v>
      </c>
    </row>
    <row r="13" spans="1:4" x14ac:dyDescent="0.3">
      <c r="A13">
        <v>1</v>
      </c>
      <c r="B13">
        <f>COUNTIFS($A$2:A13,A13,$C$2:C13,"conf_1")</f>
        <v>1</v>
      </c>
      <c r="C13" t="s">
        <v>14</v>
      </c>
      <c r="D13">
        <v>0.111</v>
      </c>
    </row>
    <row r="14" spans="1:4" x14ac:dyDescent="0.3">
      <c r="A14">
        <v>1</v>
      </c>
      <c r="B14">
        <f>COUNTIFS($A$2:A14,A14,$C$2:C14,"conf_1")</f>
        <v>1</v>
      </c>
      <c r="C14" t="s">
        <v>15</v>
      </c>
      <c r="D14">
        <v>0.70399999999999996</v>
      </c>
    </row>
    <row r="15" spans="1:4" x14ac:dyDescent="0.3">
      <c r="A15">
        <v>1</v>
      </c>
      <c r="B15">
        <f>COUNTIFS($A$2:A15,A15,$C$2:C15,"conf_1")</f>
        <v>1</v>
      </c>
      <c r="C15" t="s">
        <v>16</v>
      </c>
      <c r="D15">
        <v>0.11700000000000001</v>
      </c>
    </row>
    <row r="16" spans="1:4" x14ac:dyDescent="0.3">
      <c r="A16">
        <v>1</v>
      </c>
      <c r="B16">
        <f>COUNTIFS($A$2:A16,A16,$C$2:C16,"conf_1")</f>
        <v>1</v>
      </c>
      <c r="C16" t="s">
        <v>17</v>
      </c>
      <c r="D16">
        <v>0.214</v>
      </c>
    </row>
    <row r="17" spans="1:4" x14ac:dyDescent="0.3">
      <c r="A17">
        <v>1</v>
      </c>
      <c r="B17">
        <f>COUNTIFS($A$2:A17,A17,$C$2:C17,"conf_1")</f>
        <v>1</v>
      </c>
      <c r="C17" t="s">
        <v>18</v>
      </c>
      <c r="D17">
        <v>0.14699999999999999</v>
      </c>
    </row>
    <row r="18" spans="1:4" x14ac:dyDescent="0.3">
      <c r="A18">
        <v>1</v>
      </c>
      <c r="B18">
        <f>COUNTIFS($A$2:A18,A18,$C$2:C18,"conf_1")</f>
        <v>1</v>
      </c>
      <c r="C18" t="s">
        <v>19</v>
      </c>
      <c r="D18">
        <v>0.65200000000000002</v>
      </c>
    </row>
    <row r="19" spans="1:4" x14ac:dyDescent="0.3">
      <c r="A19">
        <v>1</v>
      </c>
      <c r="B19">
        <f>COUNTIFS($A$2:A19,A19,$C$2:C19,"conf_1")</f>
        <v>1</v>
      </c>
      <c r="C19" t="s">
        <v>20</v>
      </c>
      <c r="D19">
        <v>0.67900000000000005</v>
      </c>
    </row>
    <row r="20" spans="1:4" x14ac:dyDescent="0.3">
      <c r="A20">
        <v>1</v>
      </c>
      <c r="B20">
        <f>COUNTIFS($A$2:A20,A20,$C$2:C20,"conf_1")</f>
        <v>1</v>
      </c>
      <c r="C20" t="s">
        <v>21</v>
      </c>
      <c r="D20">
        <v>0.16300000000000001</v>
      </c>
    </row>
    <row r="21" spans="1:4" x14ac:dyDescent="0.3">
      <c r="A21">
        <v>1</v>
      </c>
      <c r="B21">
        <f>COUNTIFS($A$2:A21,A21,$C$2:C21,"conf_1")</f>
        <v>1</v>
      </c>
      <c r="C21" t="s">
        <v>22</v>
      </c>
      <c r="D21">
        <v>9.1999999999999998E-2</v>
      </c>
    </row>
    <row r="22" spans="1:4" x14ac:dyDescent="0.3">
      <c r="A22">
        <v>1</v>
      </c>
      <c r="B22">
        <f>COUNTIFS($A$2:A22,A22,$C$2:C22,"conf_1")</f>
        <v>2</v>
      </c>
      <c r="C22" t="s">
        <v>3</v>
      </c>
      <c r="D22">
        <v>0.69099999999999995</v>
      </c>
    </row>
    <row r="23" spans="1:4" x14ac:dyDescent="0.3">
      <c r="A23">
        <v>1</v>
      </c>
      <c r="B23">
        <f>COUNTIFS($A$2:A23,A23,$C$2:C23,"conf_1")</f>
        <v>2</v>
      </c>
      <c r="C23" t="s">
        <v>4</v>
      </c>
      <c r="D23">
        <v>0.621</v>
      </c>
    </row>
    <row r="24" spans="1:4" x14ac:dyDescent="0.3">
      <c r="A24">
        <v>1</v>
      </c>
      <c r="B24">
        <f>COUNTIFS($A$2:A24,A24,$C$2:C24,"conf_1")</f>
        <v>2</v>
      </c>
      <c r="C24" t="s">
        <v>5</v>
      </c>
      <c r="D24">
        <v>0.63100000000000001</v>
      </c>
    </row>
    <row r="25" spans="1:4" x14ac:dyDescent="0.3">
      <c r="A25">
        <v>1</v>
      </c>
      <c r="B25">
        <f>COUNTIFS($A$2:A25,A25,$C$2:C25,"conf_1")</f>
        <v>2</v>
      </c>
      <c r="C25" t="s">
        <v>6</v>
      </c>
      <c r="D25">
        <v>0.61599999999999999</v>
      </c>
    </row>
    <row r="26" spans="1:4" x14ac:dyDescent="0.3">
      <c r="A26">
        <v>1</v>
      </c>
      <c r="B26">
        <f>COUNTIFS($A$2:A26,A26,$C$2:C26,"conf_1")</f>
        <v>2</v>
      </c>
      <c r="C26" t="s">
        <v>7</v>
      </c>
      <c r="D26">
        <v>0.64600000000000002</v>
      </c>
    </row>
    <row r="27" spans="1:4" x14ac:dyDescent="0.3">
      <c r="A27">
        <v>1</v>
      </c>
      <c r="B27">
        <f>COUNTIFS($A$2:A27,A27,$C$2:C27,"conf_1")</f>
        <v>2</v>
      </c>
      <c r="C27" t="s">
        <v>8</v>
      </c>
      <c r="D27">
        <v>0.61</v>
      </c>
    </row>
    <row r="28" spans="1:4" x14ac:dyDescent="0.3">
      <c r="A28">
        <v>1</v>
      </c>
      <c r="B28">
        <f>COUNTIFS($A$2:A28,A28,$C$2:C28,"conf_1")</f>
        <v>2</v>
      </c>
      <c r="C28" t="s">
        <v>9</v>
      </c>
      <c r="D28">
        <v>0.20499999999999999</v>
      </c>
    </row>
    <row r="29" spans="1:4" x14ac:dyDescent="0.3">
      <c r="A29">
        <v>1</v>
      </c>
      <c r="B29">
        <f>COUNTIFS($A$2:A29,A29,$C$2:C29,"conf_1")</f>
        <v>2</v>
      </c>
      <c r="C29" t="s">
        <v>10</v>
      </c>
      <c r="D29">
        <v>0.69</v>
      </c>
    </row>
    <row r="30" spans="1:4" x14ac:dyDescent="0.3">
      <c r="A30">
        <v>1</v>
      </c>
      <c r="B30">
        <f>COUNTIFS($A$2:A30,A30,$C$2:C30,"conf_1")</f>
        <v>2</v>
      </c>
      <c r="C30" t="s">
        <v>11</v>
      </c>
      <c r="D30">
        <v>0.625</v>
      </c>
    </row>
    <row r="31" spans="1:4" x14ac:dyDescent="0.3">
      <c r="A31">
        <v>1</v>
      </c>
      <c r="B31">
        <f>COUNTIFS($A$2:A31,A31,$C$2:C31,"conf_1")</f>
        <v>2</v>
      </c>
      <c r="C31" t="s">
        <v>12</v>
      </c>
      <c r="D31">
        <v>0.69199999999999995</v>
      </c>
    </row>
    <row r="32" spans="1:4" x14ac:dyDescent="0.3">
      <c r="A32">
        <v>1</v>
      </c>
      <c r="B32">
        <f>COUNTIFS($A$2:A32,A32,$C$2:C32,"conf_1")</f>
        <v>2</v>
      </c>
      <c r="C32" t="s">
        <v>13</v>
      </c>
      <c r="D32">
        <v>0.67200000000000004</v>
      </c>
    </row>
    <row r="33" spans="1:4" x14ac:dyDescent="0.3">
      <c r="A33">
        <v>1</v>
      </c>
      <c r="B33">
        <f>COUNTIFS($A$2:A33,A33,$C$2:C33,"conf_1")</f>
        <v>2</v>
      </c>
      <c r="C33" t="s">
        <v>14</v>
      </c>
      <c r="D33">
        <v>9.2999999999999999E-2</v>
      </c>
    </row>
    <row r="34" spans="1:4" x14ac:dyDescent="0.3">
      <c r="A34">
        <v>1</v>
      </c>
      <c r="B34">
        <f>COUNTIFS($A$2:A34,A34,$C$2:C34,"conf_1")</f>
        <v>2</v>
      </c>
      <c r="C34" t="s">
        <v>15</v>
      </c>
      <c r="D34">
        <v>0.70599999999999996</v>
      </c>
    </row>
    <row r="35" spans="1:4" x14ac:dyDescent="0.3">
      <c r="A35">
        <v>1</v>
      </c>
      <c r="B35">
        <f>COUNTIFS($A$2:A35,A35,$C$2:C35,"conf_1")</f>
        <v>2</v>
      </c>
      <c r="C35" t="s">
        <v>16</v>
      </c>
      <c r="D35">
        <v>0.114</v>
      </c>
    </row>
    <row r="36" spans="1:4" x14ac:dyDescent="0.3">
      <c r="A36">
        <v>1</v>
      </c>
      <c r="B36">
        <f>COUNTIFS($A$2:A36,A36,$C$2:C36,"conf_1")</f>
        <v>2</v>
      </c>
      <c r="C36" t="s">
        <v>17</v>
      </c>
      <c r="D36">
        <v>0.221</v>
      </c>
    </row>
    <row r="37" spans="1:4" x14ac:dyDescent="0.3">
      <c r="A37">
        <v>1</v>
      </c>
      <c r="B37">
        <f>COUNTIFS($A$2:A37,A37,$C$2:C37,"conf_1")</f>
        <v>2</v>
      </c>
      <c r="C37" t="s">
        <v>18</v>
      </c>
      <c r="D37">
        <v>0.13</v>
      </c>
    </row>
    <row r="38" spans="1:4" x14ac:dyDescent="0.3">
      <c r="A38">
        <v>1</v>
      </c>
      <c r="B38">
        <f>COUNTIFS($A$2:A38,A38,$C$2:C38,"conf_1")</f>
        <v>2</v>
      </c>
      <c r="C38" t="s">
        <v>19</v>
      </c>
      <c r="D38">
        <v>0.65600000000000003</v>
      </c>
    </row>
    <row r="39" spans="1:4" x14ac:dyDescent="0.3">
      <c r="A39">
        <v>1</v>
      </c>
      <c r="B39">
        <f>COUNTIFS($A$2:A39,A39,$C$2:C39,"conf_1")</f>
        <v>2</v>
      </c>
      <c r="C39" t="s">
        <v>20</v>
      </c>
      <c r="D39">
        <v>0.68200000000000005</v>
      </c>
    </row>
    <row r="40" spans="1:4" x14ac:dyDescent="0.3">
      <c r="A40">
        <v>1</v>
      </c>
      <c r="B40">
        <f>COUNTIFS($A$2:A40,A40,$C$2:C40,"conf_1")</f>
        <v>2</v>
      </c>
      <c r="C40" t="s">
        <v>21</v>
      </c>
      <c r="D40">
        <v>0.14000000000000001</v>
      </c>
    </row>
    <row r="41" spans="1:4" x14ac:dyDescent="0.3">
      <c r="A41">
        <v>1</v>
      </c>
      <c r="B41">
        <f>COUNTIFS($A$2:A41,A41,$C$2:C41,"conf_1")</f>
        <v>2</v>
      </c>
      <c r="C41" t="s">
        <v>22</v>
      </c>
      <c r="D41">
        <v>9.4E-2</v>
      </c>
    </row>
    <row r="42" spans="1:4" x14ac:dyDescent="0.3">
      <c r="A42">
        <v>1</v>
      </c>
      <c r="B42">
        <f>COUNTIFS($A$2:A42,A42,$C$2:C42,"conf_1")</f>
        <v>3</v>
      </c>
      <c r="C42" t="s">
        <v>3</v>
      </c>
      <c r="D42">
        <v>0.69</v>
      </c>
    </row>
    <row r="43" spans="1:4" x14ac:dyDescent="0.3">
      <c r="A43">
        <v>1</v>
      </c>
      <c r="B43">
        <f>COUNTIFS($A$2:A43,A43,$C$2:C43,"conf_1")</f>
        <v>3</v>
      </c>
      <c r="C43" t="s">
        <v>4</v>
      </c>
      <c r="D43">
        <v>0.62</v>
      </c>
    </row>
    <row r="44" spans="1:4" x14ac:dyDescent="0.3">
      <c r="A44">
        <v>1</v>
      </c>
      <c r="B44">
        <f>COUNTIFS($A$2:A44,A44,$C$2:C44,"conf_1")</f>
        <v>3</v>
      </c>
      <c r="C44" t="s">
        <v>5</v>
      </c>
      <c r="D44">
        <v>0.63</v>
      </c>
    </row>
    <row r="45" spans="1:4" x14ac:dyDescent="0.3">
      <c r="A45">
        <v>1</v>
      </c>
      <c r="B45">
        <f>COUNTIFS($A$2:A45,A45,$C$2:C45,"conf_1")</f>
        <v>3</v>
      </c>
      <c r="C45" t="s">
        <v>6</v>
      </c>
      <c r="D45">
        <v>0.61599999999999999</v>
      </c>
    </row>
    <row r="46" spans="1:4" x14ac:dyDescent="0.3">
      <c r="A46">
        <v>1</v>
      </c>
      <c r="B46">
        <f>COUNTIFS($A$2:A46,A46,$C$2:C46,"conf_1")</f>
        <v>3</v>
      </c>
      <c r="C46" t="s">
        <v>7</v>
      </c>
      <c r="D46">
        <v>0.64600000000000002</v>
      </c>
    </row>
    <row r="47" spans="1:4" x14ac:dyDescent="0.3">
      <c r="A47">
        <v>1</v>
      </c>
      <c r="B47">
        <f>COUNTIFS($A$2:A47,A47,$C$2:C47,"conf_1")</f>
        <v>3</v>
      </c>
      <c r="C47" t="s">
        <v>8</v>
      </c>
      <c r="D47">
        <v>0.60899999999999999</v>
      </c>
    </row>
    <row r="48" spans="1:4" x14ac:dyDescent="0.3">
      <c r="A48">
        <v>1</v>
      </c>
      <c r="B48">
        <f>COUNTIFS($A$2:A48,A48,$C$2:C48,"conf_1")</f>
        <v>3</v>
      </c>
      <c r="C48" t="s">
        <v>9</v>
      </c>
      <c r="D48">
        <v>0.21299999999999999</v>
      </c>
    </row>
    <row r="49" spans="1:4" x14ac:dyDescent="0.3">
      <c r="A49">
        <v>1</v>
      </c>
      <c r="B49">
        <f>COUNTIFS($A$2:A49,A49,$C$2:C49,"conf_1")</f>
        <v>3</v>
      </c>
      <c r="C49" t="s">
        <v>10</v>
      </c>
      <c r="D49">
        <v>0.69099999999999995</v>
      </c>
    </row>
    <row r="50" spans="1:4" x14ac:dyDescent="0.3">
      <c r="A50">
        <v>1</v>
      </c>
      <c r="B50">
        <f>COUNTIFS($A$2:A50,A50,$C$2:C50,"conf_1")</f>
        <v>3</v>
      </c>
      <c r="C50" t="s">
        <v>11</v>
      </c>
      <c r="D50">
        <v>0.624</v>
      </c>
    </row>
    <row r="51" spans="1:4" x14ac:dyDescent="0.3">
      <c r="A51">
        <v>1</v>
      </c>
      <c r="B51">
        <f>COUNTIFS($A$2:A51,A51,$C$2:C51,"conf_1")</f>
        <v>3</v>
      </c>
      <c r="C51" t="s">
        <v>12</v>
      </c>
      <c r="D51">
        <v>0.69199999999999995</v>
      </c>
    </row>
    <row r="52" spans="1:4" x14ac:dyDescent="0.3">
      <c r="A52">
        <v>1</v>
      </c>
      <c r="B52">
        <f>COUNTIFS($A$2:A52,A52,$C$2:C52,"conf_1")</f>
        <v>3</v>
      </c>
      <c r="C52" t="s">
        <v>13</v>
      </c>
      <c r="D52">
        <v>0.67100000000000004</v>
      </c>
    </row>
    <row r="53" spans="1:4" x14ac:dyDescent="0.3">
      <c r="A53">
        <v>1</v>
      </c>
      <c r="B53">
        <f>COUNTIFS($A$2:A53,A53,$C$2:C53,"conf_1")</f>
        <v>3</v>
      </c>
      <c r="C53" t="s">
        <v>14</v>
      </c>
      <c r="D53">
        <v>0.113</v>
      </c>
    </row>
    <row r="54" spans="1:4" x14ac:dyDescent="0.3">
      <c r="A54">
        <v>1</v>
      </c>
      <c r="B54">
        <f>COUNTIFS($A$2:A54,A54,$C$2:C54,"conf_1")</f>
        <v>3</v>
      </c>
      <c r="C54" t="s">
        <v>15</v>
      </c>
      <c r="D54">
        <v>0.70699999999999996</v>
      </c>
    </row>
    <row r="55" spans="1:4" x14ac:dyDescent="0.3">
      <c r="A55">
        <v>1</v>
      </c>
      <c r="B55">
        <f>COUNTIFS($A$2:A55,A55,$C$2:C55,"conf_1")</f>
        <v>3</v>
      </c>
      <c r="C55" t="s">
        <v>16</v>
      </c>
      <c r="D55">
        <v>0.127</v>
      </c>
    </row>
    <row r="56" spans="1:4" x14ac:dyDescent="0.3">
      <c r="A56">
        <v>1</v>
      </c>
      <c r="B56">
        <f>COUNTIFS($A$2:A56,A56,$C$2:C56,"conf_1")</f>
        <v>3</v>
      </c>
      <c r="C56" t="s">
        <v>17</v>
      </c>
      <c r="D56">
        <v>0.22900000000000001</v>
      </c>
    </row>
    <row r="57" spans="1:4" x14ac:dyDescent="0.3">
      <c r="A57">
        <v>1</v>
      </c>
      <c r="B57">
        <f>COUNTIFS($A$2:A57,A57,$C$2:C57,"conf_1")</f>
        <v>3</v>
      </c>
      <c r="C57" t="s">
        <v>18</v>
      </c>
      <c r="D57">
        <v>0.14499999999999999</v>
      </c>
    </row>
    <row r="58" spans="1:4" x14ac:dyDescent="0.3">
      <c r="A58">
        <v>1</v>
      </c>
      <c r="B58">
        <f>COUNTIFS($A$2:A58,A58,$C$2:C58,"conf_1")</f>
        <v>3</v>
      </c>
      <c r="C58" t="s">
        <v>19</v>
      </c>
      <c r="D58">
        <v>0.65600000000000003</v>
      </c>
    </row>
    <row r="59" spans="1:4" x14ac:dyDescent="0.3">
      <c r="A59">
        <v>1</v>
      </c>
      <c r="B59">
        <f>COUNTIFS($A$2:A59,A59,$C$2:C59,"conf_1")</f>
        <v>3</v>
      </c>
      <c r="C59" t="s">
        <v>20</v>
      </c>
      <c r="D59">
        <v>0.68200000000000005</v>
      </c>
    </row>
    <row r="60" spans="1:4" x14ac:dyDescent="0.3">
      <c r="A60">
        <v>1</v>
      </c>
      <c r="B60">
        <f>COUNTIFS($A$2:A60,A60,$C$2:C60,"conf_1")</f>
        <v>3</v>
      </c>
      <c r="C60" t="s">
        <v>21</v>
      </c>
      <c r="D60">
        <v>0.152</v>
      </c>
    </row>
    <row r="61" spans="1:4" x14ac:dyDescent="0.3">
      <c r="A61">
        <v>1</v>
      </c>
      <c r="B61">
        <f>COUNTIFS($A$2:A61,A61,$C$2:C61,"conf_1")</f>
        <v>3</v>
      </c>
      <c r="C61" t="s">
        <v>22</v>
      </c>
      <c r="D61">
        <v>0.108</v>
      </c>
    </row>
    <row r="62" spans="1:4" x14ac:dyDescent="0.3">
      <c r="A62">
        <v>1</v>
      </c>
      <c r="B62">
        <f>COUNTIFS($A$2:A62,A62,$C$2:C62,"conf_1")</f>
        <v>4</v>
      </c>
      <c r="C62" t="s">
        <v>3</v>
      </c>
      <c r="D62">
        <v>0.68400000000000005</v>
      </c>
    </row>
    <row r="63" spans="1:4" x14ac:dyDescent="0.3">
      <c r="A63">
        <v>1</v>
      </c>
      <c r="B63">
        <f>COUNTIFS($A$2:A63,A63,$C$2:C63,"conf_1")</f>
        <v>4</v>
      </c>
      <c r="C63" t="s">
        <v>4</v>
      </c>
      <c r="D63">
        <v>0.61799999999999999</v>
      </c>
    </row>
    <row r="64" spans="1:4" x14ac:dyDescent="0.3">
      <c r="A64">
        <v>1</v>
      </c>
      <c r="B64">
        <f>COUNTIFS($A$2:A64,A64,$C$2:C64,"conf_1")</f>
        <v>4</v>
      </c>
      <c r="C64" t="s">
        <v>5</v>
      </c>
      <c r="D64">
        <v>0.627</v>
      </c>
    </row>
    <row r="65" spans="1:4" x14ac:dyDescent="0.3">
      <c r="A65">
        <v>1</v>
      </c>
      <c r="B65">
        <f>COUNTIFS($A$2:A65,A65,$C$2:C65,"conf_1")</f>
        <v>4</v>
      </c>
      <c r="C65" t="s">
        <v>6</v>
      </c>
      <c r="D65">
        <v>0.61399999999999999</v>
      </c>
    </row>
    <row r="66" spans="1:4" x14ac:dyDescent="0.3">
      <c r="A66">
        <v>1</v>
      </c>
      <c r="B66">
        <f>COUNTIFS($A$2:A66,A66,$C$2:C66,"conf_1")</f>
        <v>4</v>
      </c>
      <c r="C66" t="s">
        <v>7</v>
      </c>
      <c r="D66">
        <v>0.64200000000000002</v>
      </c>
    </row>
    <row r="67" spans="1:4" x14ac:dyDescent="0.3">
      <c r="A67">
        <v>1</v>
      </c>
      <c r="B67">
        <f>COUNTIFS($A$2:A67,A67,$C$2:C67,"conf_1")</f>
        <v>4</v>
      </c>
      <c r="C67" t="s">
        <v>8</v>
      </c>
      <c r="D67">
        <v>0.60799999999999998</v>
      </c>
    </row>
    <row r="68" spans="1:4" x14ac:dyDescent="0.3">
      <c r="A68">
        <v>1</v>
      </c>
      <c r="B68">
        <f>COUNTIFS($A$2:A68,A68,$C$2:C68,"conf_1")</f>
        <v>4</v>
      </c>
      <c r="C68" t="s">
        <v>9</v>
      </c>
      <c r="D68">
        <v>0.20599999999999999</v>
      </c>
    </row>
    <row r="69" spans="1:4" x14ac:dyDescent="0.3">
      <c r="A69">
        <v>1</v>
      </c>
      <c r="B69">
        <f>COUNTIFS($A$2:A69,A69,$C$2:C69,"conf_1")</f>
        <v>4</v>
      </c>
      <c r="C69" t="s">
        <v>10</v>
      </c>
      <c r="D69">
        <v>0.68500000000000005</v>
      </c>
    </row>
    <row r="70" spans="1:4" x14ac:dyDescent="0.3">
      <c r="A70">
        <v>1</v>
      </c>
      <c r="B70">
        <f>COUNTIFS($A$2:A70,A70,$C$2:C70,"conf_1")</f>
        <v>4</v>
      </c>
      <c r="C70" t="s">
        <v>11</v>
      </c>
      <c r="D70">
        <v>0.62</v>
      </c>
    </row>
    <row r="71" spans="1:4" x14ac:dyDescent="0.3">
      <c r="A71">
        <v>1</v>
      </c>
      <c r="B71">
        <f>COUNTIFS($A$2:A71,A71,$C$2:C71,"conf_1")</f>
        <v>4</v>
      </c>
      <c r="C71" t="s">
        <v>12</v>
      </c>
      <c r="D71">
        <v>0.68600000000000005</v>
      </c>
    </row>
    <row r="72" spans="1:4" x14ac:dyDescent="0.3">
      <c r="A72">
        <v>1</v>
      </c>
      <c r="B72">
        <f>COUNTIFS($A$2:A72,A72,$C$2:C72,"conf_1")</f>
        <v>4</v>
      </c>
      <c r="C72" t="s">
        <v>13</v>
      </c>
      <c r="D72">
        <v>0.66500000000000004</v>
      </c>
    </row>
    <row r="73" spans="1:4" x14ac:dyDescent="0.3">
      <c r="A73">
        <v>1</v>
      </c>
      <c r="B73">
        <f>COUNTIFS($A$2:A73,A73,$C$2:C73,"conf_1")</f>
        <v>4</v>
      </c>
      <c r="C73" t="s">
        <v>14</v>
      </c>
      <c r="D73">
        <v>0.125</v>
      </c>
    </row>
    <row r="74" spans="1:4" x14ac:dyDescent="0.3">
      <c r="A74">
        <v>1</v>
      </c>
      <c r="B74">
        <f>COUNTIFS($A$2:A74,A74,$C$2:C74,"conf_1")</f>
        <v>4</v>
      </c>
      <c r="C74" t="s">
        <v>15</v>
      </c>
      <c r="D74">
        <v>0.70199999999999996</v>
      </c>
    </row>
    <row r="75" spans="1:4" x14ac:dyDescent="0.3">
      <c r="A75">
        <v>1</v>
      </c>
      <c r="B75">
        <f>COUNTIFS($A$2:A75,A75,$C$2:C75,"conf_1")</f>
        <v>4</v>
      </c>
      <c r="C75" t="s">
        <v>16</v>
      </c>
      <c r="D75">
        <v>0.125</v>
      </c>
    </row>
    <row r="76" spans="1:4" x14ac:dyDescent="0.3">
      <c r="A76">
        <v>1</v>
      </c>
      <c r="B76">
        <f>COUNTIFS($A$2:A76,A76,$C$2:C76,"conf_1")</f>
        <v>4</v>
      </c>
      <c r="C76" t="s">
        <v>17</v>
      </c>
      <c r="D76">
        <v>0.219</v>
      </c>
    </row>
    <row r="77" spans="1:4" x14ac:dyDescent="0.3">
      <c r="A77">
        <v>1</v>
      </c>
      <c r="B77">
        <f>COUNTIFS($A$2:A77,A77,$C$2:C77,"conf_1")</f>
        <v>4</v>
      </c>
      <c r="C77" t="s">
        <v>18</v>
      </c>
      <c r="D77">
        <v>0.16300000000000001</v>
      </c>
    </row>
    <row r="78" spans="1:4" x14ac:dyDescent="0.3">
      <c r="A78">
        <v>1</v>
      </c>
      <c r="B78">
        <f>COUNTIFS($A$2:A78,A78,$C$2:C78,"conf_1")</f>
        <v>4</v>
      </c>
      <c r="C78" t="s">
        <v>19</v>
      </c>
      <c r="D78">
        <v>0.65</v>
      </c>
    </row>
    <row r="79" spans="1:4" x14ac:dyDescent="0.3">
      <c r="A79">
        <v>1</v>
      </c>
      <c r="B79">
        <f>COUNTIFS($A$2:A79,A79,$C$2:C79,"conf_1")</f>
        <v>4</v>
      </c>
      <c r="C79" t="s">
        <v>20</v>
      </c>
      <c r="D79">
        <v>0.67700000000000005</v>
      </c>
    </row>
    <row r="80" spans="1:4" x14ac:dyDescent="0.3">
      <c r="A80">
        <v>1</v>
      </c>
      <c r="B80">
        <f>COUNTIFS($A$2:A80,A80,$C$2:C80,"conf_1")</f>
        <v>4</v>
      </c>
      <c r="C80" t="s">
        <v>21</v>
      </c>
      <c r="D80">
        <v>0.17399999999999999</v>
      </c>
    </row>
    <row r="81" spans="1:4" x14ac:dyDescent="0.3">
      <c r="A81">
        <v>1</v>
      </c>
      <c r="B81">
        <f>COUNTIFS($A$2:A81,A81,$C$2:C81,"conf_1")</f>
        <v>4</v>
      </c>
      <c r="C81" t="s">
        <v>22</v>
      </c>
      <c r="D81">
        <v>0.113</v>
      </c>
    </row>
    <row r="82" spans="1:4" x14ac:dyDescent="0.3">
      <c r="A82">
        <v>1</v>
      </c>
      <c r="B82">
        <f>COUNTIFS($A$2:A82,A82,$C$2:C82,"conf_1")</f>
        <v>5</v>
      </c>
      <c r="C82" t="s">
        <v>3</v>
      </c>
      <c r="D82">
        <v>0.68</v>
      </c>
    </row>
    <row r="83" spans="1:4" x14ac:dyDescent="0.3">
      <c r="A83">
        <v>1</v>
      </c>
      <c r="B83">
        <f>COUNTIFS($A$2:A83,A83,$C$2:C83,"conf_1")</f>
        <v>5</v>
      </c>
      <c r="C83" t="s">
        <v>4</v>
      </c>
      <c r="D83">
        <v>0.61499999999999999</v>
      </c>
    </row>
    <row r="84" spans="1:4" x14ac:dyDescent="0.3">
      <c r="A84">
        <v>1</v>
      </c>
      <c r="B84">
        <f>COUNTIFS($A$2:A84,A84,$C$2:C84,"conf_1")</f>
        <v>5</v>
      </c>
      <c r="C84" t="s">
        <v>5</v>
      </c>
      <c r="D84">
        <v>0.624</v>
      </c>
    </row>
    <row r="85" spans="1:4" x14ac:dyDescent="0.3">
      <c r="A85">
        <v>1</v>
      </c>
      <c r="B85">
        <f>COUNTIFS($A$2:A85,A85,$C$2:C85,"conf_1")</f>
        <v>5</v>
      </c>
      <c r="C85" t="s">
        <v>6</v>
      </c>
      <c r="D85">
        <v>0.61099999999999999</v>
      </c>
    </row>
    <row r="86" spans="1:4" x14ac:dyDescent="0.3">
      <c r="A86">
        <v>1</v>
      </c>
      <c r="B86">
        <f>COUNTIFS($A$2:A86,A86,$C$2:C86,"conf_1")</f>
        <v>5</v>
      </c>
      <c r="C86" t="s">
        <v>7</v>
      </c>
      <c r="D86">
        <v>0.63800000000000001</v>
      </c>
    </row>
    <row r="87" spans="1:4" x14ac:dyDescent="0.3">
      <c r="A87">
        <v>1</v>
      </c>
      <c r="B87">
        <f>COUNTIFS($A$2:A87,A87,$C$2:C87,"conf_1")</f>
        <v>5</v>
      </c>
      <c r="C87" t="s">
        <v>8</v>
      </c>
      <c r="D87">
        <v>0.60599999999999998</v>
      </c>
    </row>
    <row r="88" spans="1:4" x14ac:dyDescent="0.3">
      <c r="A88">
        <v>1</v>
      </c>
      <c r="B88">
        <f>COUNTIFS($A$2:A88,A88,$C$2:C88,"conf_1")</f>
        <v>5</v>
      </c>
      <c r="C88" t="s">
        <v>9</v>
      </c>
      <c r="D88">
        <v>0.19600000000000001</v>
      </c>
    </row>
    <row r="89" spans="1:4" x14ac:dyDescent="0.3">
      <c r="A89">
        <v>1</v>
      </c>
      <c r="B89">
        <f>COUNTIFS($A$2:A89,A89,$C$2:C89,"conf_1")</f>
        <v>5</v>
      </c>
      <c r="C89" t="s">
        <v>10</v>
      </c>
      <c r="D89">
        <v>0.68100000000000005</v>
      </c>
    </row>
    <row r="90" spans="1:4" x14ac:dyDescent="0.3">
      <c r="A90">
        <v>1</v>
      </c>
      <c r="B90">
        <f>COUNTIFS($A$2:A90,A90,$C$2:C90,"conf_1")</f>
        <v>5</v>
      </c>
      <c r="C90" t="s">
        <v>11</v>
      </c>
      <c r="D90">
        <v>0.61699999999999999</v>
      </c>
    </row>
    <row r="91" spans="1:4" x14ac:dyDescent="0.3">
      <c r="A91">
        <v>1</v>
      </c>
      <c r="B91">
        <f>COUNTIFS($A$2:A91,A91,$C$2:C91,"conf_1")</f>
        <v>5</v>
      </c>
      <c r="C91" t="s">
        <v>12</v>
      </c>
      <c r="D91">
        <v>0.68100000000000005</v>
      </c>
    </row>
    <row r="92" spans="1:4" x14ac:dyDescent="0.3">
      <c r="A92">
        <v>1</v>
      </c>
      <c r="B92">
        <f>COUNTIFS($A$2:A92,A92,$C$2:C92,"conf_1")</f>
        <v>5</v>
      </c>
      <c r="C92" t="s">
        <v>13</v>
      </c>
      <c r="D92">
        <v>0.66100000000000003</v>
      </c>
    </row>
    <row r="93" spans="1:4" x14ac:dyDescent="0.3">
      <c r="A93">
        <v>1</v>
      </c>
      <c r="B93">
        <f>COUNTIFS($A$2:A93,A93,$C$2:C93,"conf_1")</f>
        <v>5</v>
      </c>
      <c r="C93" t="s">
        <v>14</v>
      </c>
      <c r="D93">
        <v>0.12</v>
      </c>
    </row>
    <row r="94" spans="1:4" x14ac:dyDescent="0.3">
      <c r="A94">
        <v>1</v>
      </c>
      <c r="B94">
        <f>COUNTIFS($A$2:A94,A94,$C$2:C94,"conf_1")</f>
        <v>5</v>
      </c>
      <c r="C94" t="s">
        <v>15</v>
      </c>
      <c r="D94">
        <v>0.69699999999999995</v>
      </c>
    </row>
    <row r="95" spans="1:4" x14ac:dyDescent="0.3">
      <c r="A95">
        <v>1</v>
      </c>
      <c r="B95">
        <f>COUNTIFS($A$2:A95,A95,$C$2:C95,"conf_1")</f>
        <v>5</v>
      </c>
      <c r="C95" t="s">
        <v>16</v>
      </c>
      <c r="D95">
        <v>0.11700000000000001</v>
      </c>
    </row>
    <row r="96" spans="1:4" x14ac:dyDescent="0.3">
      <c r="A96">
        <v>1</v>
      </c>
      <c r="B96">
        <f>COUNTIFS($A$2:A96,A96,$C$2:C96,"conf_1")</f>
        <v>5</v>
      </c>
      <c r="C96" t="s">
        <v>17</v>
      </c>
      <c r="D96">
        <v>0.21099999999999999</v>
      </c>
    </row>
    <row r="97" spans="1:4" x14ac:dyDescent="0.3">
      <c r="A97">
        <v>1</v>
      </c>
      <c r="B97">
        <f>COUNTIFS($A$2:A97,A97,$C$2:C97,"conf_1")</f>
        <v>5</v>
      </c>
      <c r="C97" t="s">
        <v>18</v>
      </c>
      <c r="D97">
        <v>0.16500000000000001</v>
      </c>
    </row>
    <row r="98" spans="1:4" x14ac:dyDescent="0.3">
      <c r="A98">
        <v>1</v>
      </c>
      <c r="B98">
        <f>COUNTIFS($A$2:A98,A98,$C$2:C98,"conf_1")</f>
        <v>5</v>
      </c>
      <c r="C98" t="s">
        <v>19</v>
      </c>
      <c r="D98">
        <v>0.64700000000000002</v>
      </c>
    </row>
    <row r="99" spans="1:4" x14ac:dyDescent="0.3">
      <c r="A99">
        <v>1</v>
      </c>
      <c r="B99">
        <f>COUNTIFS($A$2:A99,A99,$C$2:C99,"conf_1")</f>
        <v>5</v>
      </c>
      <c r="C99" t="s">
        <v>20</v>
      </c>
      <c r="D99">
        <v>0.67200000000000004</v>
      </c>
    </row>
    <row r="100" spans="1:4" x14ac:dyDescent="0.3">
      <c r="A100">
        <v>1</v>
      </c>
      <c r="B100">
        <f>COUNTIFS($A$2:A100,A100,$C$2:C100,"conf_1")</f>
        <v>5</v>
      </c>
      <c r="C100" t="s">
        <v>21</v>
      </c>
      <c r="D100">
        <v>0.17499999999999999</v>
      </c>
    </row>
    <row r="101" spans="1:4" x14ac:dyDescent="0.3">
      <c r="A101">
        <v>1</v>
      </c>
      <c r="B101">
        <f>COUNTIFS($A$2:A101,A101,$C$2:C101,"conf_1")</f>
        <v>5</v>
      </c>
      <c r="C101" t="s">
        <v>22</v>
      </c>
      <c r="D101">
        <v>0.11600000000000001</v>
      </c>
    </row>
    <row r="102" spans="1:4" x14ac:dyDescent="0.3">
      <c r="A102">
        <v>1</v>
      </c>
      <c r="B102">
        <f>COUNTIFS($A$2:A102,A102,$C$2:C102,"conf_1")</f>
        <v>6</v>
      </c>
      <c r="C102" t="s">
        <v>3</v>
      </c>
      <c r="D102">
        <v>0.67900000000000005</v>
      </c>
    </row>
    <row r="103" spans="1:4" x14ac:dyDescent="0.3">
      <c r="A103">
        <v>1</v>
      </c>
      <c r="B103">
        <f>COUNTIFS($A$2:A103,A103,$C$2:C103,"conf_1")</f>
        <v>6</v>
      </c>
      <c r="C103" t="s">
        <v>4</v>
      </c>
      <c r="D103">
        <v>0.61399999999999999</v>
      </c>
    </row>
    <row r="104" spans="1:4" x14ac:dyDescent="0.3">
      <c r="A104">
        <v>1</v>
      </c>
      <c r="B104">
        <f>COUNTIFS($A$2:A104,A104,$C$2:C104,"conf_1")</f>
        <v>6</v>
      </c>
      <c r="C104" t="s">
        <v>5</v>
      </c>
      <c r="D104">
        <v>0.623</v>
      </c>
    </row>
    <row r="105" spans="1:4" x14ac:dyDescent="0.3">
      <c r="A105">
        <v>1</v>
      </c>
      <c r="B105">
        <f>COUNTIFS($A$2:A105,A105,$C$2:C105,"conf_1")</f>
        <v>6</v>
      </c>
      <c r="C105" t="s">
        <v>6</v>
      </c>
      <c r="D105">
        <v>0.61</v>
      </c>
    </row>
    <row r="106" spans="1:4" x14ac:dyDescent="0.3">
      <c r="A106">
        <v>1</v>
      </c>
      <c r="B106">
        <f>COUNTIFS($A$2:A106,A106,$C$2:C106,"conf_1")</f>
        <v>6</v>
      </c>
      <c r="C106" t="s">
        <v>7</v>
      </c>
      <c r="D106">
        <v>0.63700000000000001</v>
      </c>
    </row>
    <row r="107" spans="1:4" x14ac:dyDescent="0.3">
      <c r="A107">
        <v>1</v>
      </c>
      <c r="B107">
        <f>COUNTIFS($A$2:A107,A107,$C$2:C107,"conf_1")</f>
        <v>6</v>
      </c>
      <c r="C107" t="s">
        <v>8</v>
      </c>
      <c r="D107">
        <v>0.60499999999999998</v>
      </c>
    </row>
    <row r="108" spans="1:4" x14ac:dyDescent="0.3">
      <c r="A108">
        <v>1</v>
      </c>
      <c r="B108">
        <f>COUNTIFS($A$2:A108,A108,$C$2:C108,"conf_1")</f>
        <v>6</v>
      </c>
      <c r="C108" t="s">
        <v>9</v>
      </c>
      <c r="D108">
        <v>0.191</v>
      </c>
    </row>
    <row r="109" spans="1:4" x14ac:dyDescent="0.3">
      <c r="A109">
        <v>1</v>
      </c>
      <c r="B109">
        <f>COUNTIFS($A$2:A109,A109,$C$2:C109,"conf_1")</f>
        <v>6</v>
      </c>
      <c r="C109" t="s">
        <v>10</v>
      </c>
      <c r="D109">
        <v>0.67900000000000005</v>
      </c>
    </row>
    <row r="110" spans="1:4" x14ac:dyDescent="0.3">
      <c r="A110">
        <v>1</v>
      </c>
      <c r="B110">
        <f>COUNTIFS($A$2:A110,A110,$C$2:C110,"conf_1")</f>
        <v>6</v>
      </c>
      <c r="C110" t="s">
        <v>11</v>
      </c>
      <c r="D110">
        <v>0.61599999999999999</v>
      </c>
    </row>
    <row r="111" spans="1:4" x14ac:dyDescent="0.3">
      <c r="A111">
        <v>1</v>
      </c>
      <c r="B111">
        <f>COUNTIFS($A$2:A111,A111,$C$2:C111,"conf_1")</f>
        <v>6</v>
      </c>
      <c r="C111" t="s">
        <v>12</v>
      </c>
      <c r="D111">
        <v>0.68</v>
      </c>
    </row>
    <row r="112" spans="1:4" x14ac:dyDescent="0.3">
      <c r="A112">
        <v>1</v>
      </c>
      <c r="B112">
        <f>COUNTIFS($A$2:A112,A112,$C$2:C112,"conf_1")</f>
        <v>6</v>
      </c>
      <c r="C112" t="s">
        <v>13</v>
      </c>
      <c r="D112">
        <v>0.66</v>
      </c>
    </row>
    <row r="113" spans="1:4" x14ac:dyDescent="0.3">
      <c r="A113">
        <v>1</v>
      </c>
      <c r="B113">
        <f>COUNTIFS($A$2:A113,A113,$C$2:C113,"conf_1")</f>
        <v>6</v>
      </c>
      <c r="C113" t="s">
        <v>14</v>
      </c>
      <c r="D113">
        <v>0.114</v>
      </c>
    </row>
    <row r="114" spans="1:4" x14ac:dyDescent="0.3">
      <c r="A114">
        <v>1</v>
      </c>
      <c r="B114">
        <f>COUNTIFS($A$2:A114,A114,$C$2:C114,"conf_1")</f>
        <v>6</v>
      </c>
      <c r="C114" t="s">
        <v>15</v>
      </c>
      <c r="D114">
        <v>0.69599999999999995</v>
      </c>
    </row>
    <row r="115" spans="1:4" x14ac:dyDescent="0.3">
      <c r="A115">
        <v>1</v>
      </c>
      <c r="B115">
        <f>COUNTIFS($A$2:A115,A115,$C$2:C115,"conf_1")</f>
        <v>6</v>
      </c>
      <c r="C115" t="s">
        <v>16</v>
      </c>
      <c r="D115">
        <v>0.11</v>
      </c>
    </row>
    <row r="116" spans="1:4" x14ac:dyDescent="0.3">
      <c r="A116">
        <v>1</v>
      </c>
      <c r="B116">
        <f>COUNTIFS($A$2:A116,A116,$C$2:C116,"conf_1")</f>
        <v>6</v>
      </c>
      <c r="C116" t="s">
        <v>17</v>
      </c>
      <c r="D116">
        <v>0.20499999999999999</v>
      </c>
    </row>
    <row r="117" spans="1:4" x14ac:dyDescent="0.3">
      <c r="A117">
        <v>1</v>
      </c>
      <c r="B117">
        <f>COUNTIFS($A$2:A117,A117,$C$2:C117,"conf_1")</f>
        <v>6</v>
      </c>
      <c r="C117" t="s">
        <v>18</v>
      </c>
      <c r="D117">
        <v>0.161</v>
      </c>
    </row>
    <row r="118" spans="1:4" x14ac:dyDescent="0.3">
      <c r="A118">
        <v>1</v>
      </c>
      <c r="B118">
        <f>COUNTIFS($A$2:A118,A118,$C$2:C118,"conf_1")</f>
        <v>6</v>
      </c>
      <c r="C118" t="s">
        <v>19</v>
      </c>
      <c r="D118">
        <v>0.64500000000000002</v>
      </c>
    </row>
    <row r="119" spans="1:4" x14ac:dyDescent="0.3">
      <c r="A119">
        <v>1</v>
      </c>
      <c r="B119">
        <f>COUNTIFS($A$2:A119,A119,$C$2:C119,"conf_1")</f>
        <v>6</v>
      </c>
      <c r="C119" t="s">
        <v>20</v>
      </c>
      <c r="D119">
        <v>0.67100000000000004</v>
      </c>
    </row>
    <row r="120" spans="1:4" x14ac:dyDescent="0.3">
      <c r="A120">
        <v>1</v>
      </c>
      <c r="B120">
        <f>COUNTIFS($A$2:A120,A120,$C$2:C120,"conf_1")</f>
        <v>6</v>
      </c>
      <c r="C120" t="s">
        <v>21</v>
      </c>
      <c r="D120">
        <v>0.17399999999999999</v>
      </c>
    </row>
    <row r="121" spans="1:4" x14ac:dyDescent="0.3">
      <c r="A121">
        <v>1</v>
      </c>
      <c r="B121">
        <f>COUNTIFS($A$2:A121,A121,$C$2:C121,"conf_1")</f>
        <v>6</v>
      </c>
      <c r="C121" t="s">
        <v>22</v>
      </c>
      <c r="D121">
        <v>0.11</v>
      </c>
    </row>
    <row r="122" spans="1:4" x14ac:dyDescent="0.3">
      <c r="A122">
        <v>1</v>
      </c>
      <c r="B122">
        <f>COUNTIFS($A$2:A122,A122,$C$2:C122,"conf_1")</f>
        <v>7</v>
      </c>
      <c r="C122" t="s">
        <v>3</v>
      </c>
      <c r="D122">
        <v>0.69199999999999995</v>
      </c>
    </row>
    <row r="123" spans="1:4" x14ac:dyDescent="0.3">
      <c r="A123">
        <v>1</v>
      </c>
      <c r="B123">
        <f>COUNTIFS($A$2:A123,A123,$C$2:C123,"conf_1")</f>
        <v>7</v>
      </c>
      <c r="C123" t="s">
        <v>4</v>
      </c>
      <c r="D123">
        <v>0.623</v>
      </c>
    </row>
    <row r="124" spans="1:4" x14ac:dyDescent="0.3">
      <c r="A124">
        <v>1</v>
      </c>
      <c r="B124">
        <f>COUNTIFS($A$2:A124,A124,$C$2:C124,"conf_1")</f>
        <v>7</v>
      </c>
      <c r="C124" t="s">
        <v>5</v>
      </c>
      <c r="D124">
        <v>0.63200000000000001</v>
      </c>
    </row>
    <row r="125" spans="1:4" x14ac:dyDescent="0.3">
      <c r="A125">
        <v>1</v>
      </c>
      <c r="B125">
        <f>COUNTIFS($A$2:A125,A125,$C$2:C125,"conf_1")</f>
        <v>7</v>
      </c>
      <c r="C125" t="s">
        <v>6</v>
      </c>
      <c r="D125">
        <v>0.61899999999999999</v>
      </c>
    </row>
    <row r="126" spans="1:4" x14ac:dyDescent="0.3">
      <c r="A126">
        <v>1</v>
      </c>
      <c r="B126">
        <f>COUNTIFS($A$2:A126,A126,$C$2:C126,"conf_1")</f>
        <v>7</v>
      </c>
      <c r="C126" t="s">
        <v>7</v>
      </c>
      <c r="D126">
        <v>0.64900000000000002</v>
      </c>
    </row>
    <row r="127" spans="1:4" x14ac:dyDescent="0.3">
      <c r="A127">
        <v>1</v>
      </c>
      <c r="B127">
        <f>COUNTIFS($A$2:A127,A127,$C$2:C127,"conf_1")</f>
        <v>7</v>
      </c>
      <c r="C127" t="s">
        <v>8</v>
      </c>
      <c r="D127">
        <v>0.61</v>
      </c>
    </row>
    <row r="128" spans="1:4" x14ac:dyDescent="0.3">
      <c r="A128">
        <v>1</v>
      </c>
      <c r="B128">
        <f>COUNTIFS($A$2:A128,A128,$C$2:C128,"conf_1")</f>
        <v>7</v>
      </c>
      <c r="C128" t="s">
        <v>9</v>
      </c>
      <c r="D128">
        <v>0.22500000000000001</v>
      </c>
    </row>
    <row r="129" spans="1:4" x14ac:dyDescent="0.3">
      <c r="A129">
        <v>1</v>
      </c>
      <c r="B129">
        <f>COUNTIFS($A$2:A129,A129,$C$2:C129,"conf_1")</f>
        <v>7</v>
      </c>
      <c r="C129" t="s">
        <v>10</v>
      </c>
      <c r="D129">
        <v>0.69399999999999995</v>
      </c>
    </row>
    <row r="130" spans="1:4" x14ac:dyDescent="0.3">
      <c r="A130">
        <v>1</v>
      </c>
      <c r="B130">
        <f>COUNTIFS($A$2:A130,A130,$C$2:C130,"conf_1")</f>
        <v>7</v>
      </c>
      <c r="C130" t="s">
        <v>11</v>
      </c>
      <c r="D130">
        <v>0.623</v>
      </c>
    </row>
    <row r="131" spans="1:4" x14ac:dyDescent="0.3">
      <c r="A131">
        <v>1</v>
      </c>
      <c r="B131">
        <f>COUNTIFS($A$2:A131,A131,$C$2:C131,"conf_1")</f>
        <v>7</v>
      </c>
      <c r="C131" t="s">
        <v>12</v>
      </c>
      <c r="D131">
        <v>0.69399999999999995</v>
      </c>
    </row>
    <row r="132" spans="1:4" x14ac:dyDescent="0.3">
      <c r="A132">
        <v>1</v>
      </c>
      <c r="B132">
        <f>COUNTIFS($A$2:A132,A132,$C$2:C132,"conf_1")</f>
        <v>7</v>
      </c>
      <c r="C132" t="s">
        <v>13</v>
      </c>
      <c r="D132">
        <v>0.67200000000000004</v>
      </c>
    </row>
    <row r="133" spans="1:4" x14ac:dyDescent="0.3">
      <c r="A133">
        <v>1</v>
      </c>
      <c r="B133">
        <f>COUNTIFS($A$2:A133,A133,$C$2:C133,"conf_1")</f>
        <v>7</v>
      </c>
      <c r="C133" t="s">
        <v>14</v>
      </c>
      <c r="D133">
        <v>0.14099999999999999</v>
      </c>
    </row>
    <row r="134" spans="1:4" x14ac:dyDescent="0.3">
      <c r="A134">
        <v>1</v>
      </c>
      <c r="B134">
        <f>COUNTIFS($A$2:A134,A134,$C$2:C134,"conf_1")</f>
        <v>7</v>
      </c>
      <c r="C134" t="s">
        <v>15</v>
      </c>
      <c r="D134">
        <v>0.71</v>
      </c>
    </row>
    <row r="135" spans="1:4" x14ac:dyDescent="0.3">
      <c r="A135">
        <v>1</v>
      </c>
      <c r="B135">
        <f>COUNTIFS($A$2:A135,A135,$C$2:C135,"conf_1")</f>
        <v>7</v>
      </c>
      <c r="C135" t="s">
        <v>16</v>
      </c>
      <c r="D135">
        <v>0.14199999999999999</v>
      </c>
    </row>
    <row r="136" spans="1:4" x14ac:dyDescent="0.3">
      <c r="A136">
        <v>1</v>
      </c>
      <c r="B136">
        <f>COUNTIFS($A$2:A136,A136,$C$2:C136,"conf_1")</f>
        <v>7</v>
      </c>
      <c r="C136" t="s">
        <v>17</v>
      </c>
      <c r="D136">
        <v>0.23200000000000001</v>
      </c>
    </row>
    <row r="137" spans="1:4" x14ac:dyDescent="0.3">
      <c r="A137">
        <v>1</v>
      </c>
      <c r="B137">
        <f>COUNTIFS($A$2:A137,A137,$C$2:C137,"conf_1")</f>
        <v>7</v>
      </c>
      <c r="C137" t="s">
        <v>18</v>
      </c>
      <c r="D137">
        <v>0.16700000000000001</v>
      </c>
    </row>
    <row r="138" spans="1:4" x14ac:dyDescent="0.3">
      <c r="A138">
        <v>1</v>
      </c>
      <c r="B138">
        <f>COUNTIFS($A$2:A138,A138,$C$2:C138,"conf_1")</f>
        <v>7</v>
      </c>
      <c r="C138" t="s">
        <v>19</v>
      </c>
      <c r="D138">
        <v>0.65700000000000003</v>
      </c>
    </row>
    <row r="139" spans="1:4" x14ac:dyDescent="0.3">
      <c r="A139">
        <v>1</v>
      </c>
      <c r="B139">
        <f>COUNTIFS($A$2:A139,A139,$C$2:C139,"conf_1")</f>
        <v>7</v>
      </c>
      <c r="C139" t="s">
        <v>20</v>
      </c>
      <c r="D139">
        <v>0.68500000000000005</v>
      </c>
    </row>
    <row r="140" spans="1:4" x14ac:dyDescent="0.3">
      <c r="A140">
        <v>1</v>
      </c>
      <c r="B140">
        <f>COUNTIFS($A$2:A140,A140,$C$2:C140,"conf_1")</f>
        <v>7</v>
      </c>
      <c r="C140" t="s">
        <v>21</v>
      </c>
      <c r="D140">
        <v>0.18</v>
      </c>
    </row>
    <row r="141" spans="1:4" x14ac:dyDescent="0.3">
      <c r="A141">
        <v>1</v>
      </c>
      <c r="B141">
        <f>COUNTIFS($A$2:A141,A141,$C$2:C141,"conf_1")</f>
        <v>7</v>
      </c>
      <c r="C141" t="s">
        <v>22</v>
      </c>
      <c r="D141">
        <v>0.112</v>
      </c>
    </row>
    <row r="142" spans="1:4" x14ac:dyDescent="0.3">
      <c r="A142">
        <v>1</v>
      </c>
      <c r="B142">
        <f>COUNTIFS($A$2:A142,A142,$C$2:C142,"conf_1")</f>
        <v>8</v>
      </c>
      <c r="C142" t="s">
        <v>3</v>
      </c>
      <c r="D142">
        <v>0.70699999999999996</v>
      </c>
    </row>
    <row r="143" spans="1:4" x14ac:dyDescent="0.3">
      <c r="A143">
        <v>1</v>
      </c>
      <c r="B143">
        <f>COUNTIFS($A$2:A143,A143,$C$2:C143,"conf_1")</f>
        <v>8</v>
      </c>
      <c r="C143" t="s">
        <v>4</v>
      </c>
      <c r="D143">
        <v>0.629</v>
      </c>
    </row>
    <row r="144" spans="1:4" x14ac:dyDescent="0.3">
      <c r="A144">
        <v>1</v>
      </c>
      <c r="B144">
        <f>COUNTIFS($A$2:A144,A144,$C$2:C144,"conf_1")</f>
        <v>8</v>
      </c>
      <c r="C144" t="s">
        <v>5</v>
      </c>
      <c r="D144">
        <v>0.64200000000000002</v>
      </c>
    </row>
    <row r="145" spans="1:4" x14ac:dyDescent="0.3">
      <c r="A145">
        <v>1</v>
      </c>
      <c r="B145">
        <f>COUNTIFS($A$2:A145,A145,$C$2:C145,"conf_1")</f>
        <v>8</v>
      </c>
      <c r="C145" t="s">
        <v>6</v>
      </c>
      <c r="D145">
        <v>0.624</v>
      </c>
    </row>
    <row r="146" spans="1:4" x14ac:dyDescent="0.3">
      <c r="A146">
        <v>1</v>
      </c>
      <c r="B146">
        <f>COUNTIFS($A$2:A146,A146,$C$2:C146,"conf_1")</f>
        <v>8</v>
      </c>
      <c r="C146" t="s">
        <v>7</v>
      </c>
      <c r="D146">
        <v>0.65700000000000003</v>
      </c>
    </row>
    <row r="147" spans="1:4" x14ac:dyDescent="0.3">
      <c r="A147">
        <v>1</v>
      </c>
      <c r="B147">
        <f>COUNTIFS($A$2:A147,A147,$C$2:C147,"conf_1")</f>
        <v>8</v>
      </c>
      <c r="C147" t="s">
        <v>8</v>
      </c>
      <c r="D147">
        <v>0.61899999999999999</v>
      </c>
    </row>
    <row r="148" spans="1:4" x14ac:dyDescent="0.3">
      <c r="A148">
        <v>1</v>
      </c>
      <c r="B148">
        <f>COUNTIFS($A$2:A148,A148,$C$2:C148,"conf_1")</f>
        <v>8</v>
      </c>
      <c r="C148" t="s">
        <v>9</v>
      </c>
      <c r="D148">
        <v>0.222</v>
      </c>
    </row>
    <row r="149" spans="1:4" x14ac:dyDescent="0.3">
      <c r="A149">
        <v>1</v>
      </c>
      <c r="B149">
        <f>COUNTIFS($A$2:A149,A149,$C$2:C149,"conf_1")</f>
        <v>8</v>
      </c>
      <c r="C149" t="s">
        <v>10</v>
      </c>
      <c r="D149">
        <v>0.70399999999999996</v>
      </c>
    </row>
    <row r="150" spans="1:4" x14ac:dyDescent="0.3">
      <c r="A150">
        <v>1</v>
      </c>
      <c r="B150">
        <f>COUNTIFS($A$2:A150,A150,$C$2:C150,"conf_1")</f>
        <v>8</v>
      </c>
      <c r="C150" t="s">
        <v>11</v>
      </c>
      <c r="D150">
        <v>0.63800000000000001</v>
      </c>
    </row>
    <row r="151" spans="1:4" x14ac:dyDescent="0.3">
      <c r="A151">
        <v>1</v>
      </c>
      <c r="B151">
        <f>COUNTIFS($A$2:A151,A151,$C$2:C151,"conf_1")</f>
        <v>8</v>
      </c>
      <c r="C151" t="s">
        <v>12</v>
      </c>
      <c r="D151">
        <v>0.70799999999999996</v>
      </c>
    </row>
    <row r="152" spans="1:4" x14ac:dyDescent="0.3">
      <c r="A152">
        <v>1</v>
      </c>
      <c r="B152">
        <f>COUNTIFS($A$2:A152,A152,$C$2:C152,"conf_1")</f>
        <v>8</v>
      </c>
      <c r="C152" t="s">
        <v>13</v>
      </c>
      <c r="D152">
        <v>0.68799999999999994</v>
      </c>
    </row>
    <row r="153" spans="1:4" x14ac:dyDescent="0.3">
      <c r="A153">
        <v>1</v>
      </c>
      <c r="B153">
        <f>COUNTIFS($A$2:A153,A153,$C$2:C153,"conf_1")</f>
        <v>8</v>
      </c>
      <c r="C153" t="s">
        <v>14</v>
      </c>
      <c r="D153">
        <v>7.8E-2</v>
      </c>
    </row>
    <row r="154" spans="1:4" x14ac:dyDescent="0.3">
      <c r="A154">
        <v>1</v>
      </c>
      <c r="B154">
        <f>COUNTIFS($A$2:A154,A154,$C$2:C154,"conf_1")</f>
        <v>8</v>
      </c>
      <c r="C154" t="s">
        <v>15</v>
      </c>
      <c r="D154">
        <v>0.72</v>
      </c>
    </row>
    <row r="155" spans="1:4" x14ac:dyDescent="0.3">
      <c r="A155">
        <v>1</v>
      </c>
      <c r="B155">
        <f>COUNTIFS($A$2:A155,A155,$C$2:C155,"conf_1")</f>
        <v>8</v>
      </c>
      <c r="C155" t="s">
        <v>16</v>
      </c>
      <c r="D155">
        <v>0.128</v>
      </c>
    </row>
    <row r="156" spans="1:4" x14ac:dyDescent="0.3">
      <c r="A156">
        <v>1</v>
      </c>
      <c r="B156">
        <f>COUNTIFS($A$2:A156,A156,$C$2:C156,"conf_1")</f>
        <v>8</v>
      </c>
      <c r="C156" t="s">
        <v>17</v>
      </c>
      <c r="D156">
        <v>0.24099999999999999</v>
      </c>
    </row>
    <row r="157" spans="1:4" x14ac:dyDescent="0.3">
      <c r="A157">
        <v>1</v>
      </c>
      <c r="B157">
        <f>COUNTIFS($A$2:A157,A157,$C$2:C157,"conf_1")</f>
        <v>8</v>
      </c>
      <c r="C157" t="s">
        <v>18</v>
      </c>
      <c r="D157">
        <v>0.1</v>
      </c>
    </row>
    <row r="158" spans="1:4" x14ac:dyDescent="0.3">
      <c r="A158">
        <v>1</v>
      </c>
      <c r="B158">
        <f>COUNTIFS($A$2:A158,A158,$C$2:C158,"conf_1")</f>
        <v>8</v>
      </c>
      <c r="C158" t="s">
        <v>19</v>
      </c>
      <c r="D158">
        <v>0.67</v>
      </c>
    </row>
    <row r="159" spans="1:4" x14ac:dyDescent="0.3">
      <c r="A159">
        <v>1</v>
      </c>
      <c r="B159">
        <f>COUNTIFS($A$2:A159,A159,$C$2:C159,"conf_1")</f>
        <v>8</v>
      </c>
      <c r="C159" t="s">
        <v>20</v>
      </c>
      <c r="D159">
        <v>0.69699999999999995</v>
      </c>
    </row>
    <row r="160" spans="1:4" x14ac:dyDescent="0.3">
      <c r="A160">
        <v>1</v>
      </c>
      <c r="B160">
        <f>COUNTIFS($A$2:A160,A160,$C$2:C160,"conf_1")</f>
        <v>8</v>
      </c>
      <c r="C160" t="s">
        <v>21</v>
      </c>
      <c r="D160">
        <v>0.10199999999999999</v>
      </c>
    </row>
    <row r="161" spans="1:4" x14ac:dyDescent="0.3">
      <c r="A161">
        <v>1</v>
      </c>
      <c r="B161">
        <f>COUNTIFS($A$2:A161,A161,$C$2:C161,"conf_1")</f>
        <v>8</v>
      </c>
      <c r="C161" t="s">
        <v>22</v>
      </c>
      <c r="D161">
        <v>9.7000000000000003E-2</v>
      </c>
    </row>
    <row r="162" spans="1:4" x14ac:dyDescent="0.3">
      <c r="A162">
        <v>1</v>
      </c>
      <c r="B162">
        <f>COUNTIFS($A$2:A162,A162,$C$2:C162,"conf_1")</f>
        <v>9</v>
      </c>
      <c r="C162" t="s">
        <v>3</v>
      </c>
      <c r="D162">
        <v>0.68700000000000006</v>
      </c>
    </row>
    <row r="163" spans="1:4" x14ac:dyDescent="0.3">
      <c r="A163">
        <v>1</v>
      </c>
      <c r="B163">
        <f>COUNTIFS($A$2:A163,A163,$C$2:C163,"conf_1")</f>
        <v>9</v>
      </c>
      <c r="C163" t="s">
        <v>4</v>
      </c>
      <c r="D163">
        <v>0.61899999999999999</v>
      </c>
    </row>
    <row r="164" spans="1:4" x14ac:dyDescent="0.3">
      <c r="A164">
        <v>1</v>
      </c>
      <c r="B164">
        <f>COUNTIFS($A$2:A164,A164,$C$2:C164,"conf_1")</f>
        <v>9</v>
      </c>
      <c r="C164" t="s">
        <v>5</v>
      </c>
      <c r="D164">
        <v>0.628</v>
      </c>
    </row>
    <row r="165" spans="1:4" x14ac:dyDescent="0.3">
      <c r="A165">
        <v>1</v>
      </c>
      <c r="B165">
        <f>COUNTIFS($A$2:A165,A165,$C$2:C165,"conf_1")</f>
        <v>9</v>
      </c>
      <c r="C165" t="s">
        <v>6</v>
      </c>
      <c r="D165">
        <v>0.61499999999999999</v>
      </c>
    </row>
    <row r="166" spans="1:4" x14ac:dyDescent="0.3">
      <c r="A166">
        <v>1</v>
      </c>
      <c r="B166">
        <f>COUNTIFS($A$2:A166,A166,$C$2:C166,"conf_1")</f>
        <v>9</v>
      </c>
      <c r="C166" t="s">
        <v>7</v>
      </c>
      <c r="D166">
        <v>0.64400000000000002</v>
      </c>
    </row>
    <row r="167" spans="1:4" x14ac:dyDescent="0.3">
      <c r="A167">
        <v>1</v>
      </c>
      <c r="B167">
        <f>COUNTIFS($A$2:A167,A167,$C$2:C167,"conf_1")</f>
        <v>9</v>
      </c>
      <c r="C167" t="s">
        <v>8</v>
      </c>
      <c r="D167">
        <v>0.60799999999999998</v>
      </c>
    </row>
    <row r="168" spans="1:4" x14ac:dyDescent="0.3">
      <c r="A168">
        <v>1</v>
      </c>
      <c r="B168">
        <f>COUNTIFS($A$2:A168,A168,$C$2:C168,"conf_1")</f>
        <v>9</v>
      </c>
      <c r="C168" t="s">
        <v>9</v>
      </c>
      <c r="D168">
        <v>0.21099999999999999</v>
      </c>
    </row>
    <row r="169" spans="1:4" x14ac:dyDescent="0.3">
      <c r="A169">
        <v>1</v>
      </c>
      <c r="B169">
        <f>COUNTIFS($A$2:A169,A169,$C$2:C169,"conf_1")</f>
        <v>9</v>
      </c>
      <c r="C169" t="s">
        <v>10</v>
      </c>
      <c r="D169">
        <v>0.68799999999999994</v>
      </c>
    </row>
    <row r="170" spans="1:4" x14ac:dyDescent="0.3">
      <c r="A170">
        <v>1</v>
      </c>
      <c r="B170">
        <f>COUNTIFS($A$2:A170,A170,$C$2:C170,"conf_1")</f>
        <v>9</v>
      </c>
      <c r="C170" t="s">
        <v>11</v>
      </c>
      <c r="D170">
        <v>0.621</v>
      </c>
    </row>
    <row r="171" spans="1:4" x14ac:dyDescent="0.3">
      <c r="A171">
        <v>1</v>
      </c>
      <c r="B171">
        <f>COUNTIFS($A$2:A171,A171,$C$2:C171,"conf_1")</f>
        <v>9</v>
      </c>
      <c r="C171" t="s">
        <v>12</v>
      </c>
      <c r="D171">
        <v>0.68899999999999995</v>
      </c>
    </row>
    <row r="172" spans="1:4" x14ac:dyDescent="0.3">
      <c r="A172">
        <v>1</v>
      </c>
      <c r="B172">
        <f>COUNTIFS($A$2:A172,A172,$C$2:C172,"conf_1")</f>
        <v>9</v>
      </c>
      <c r="C172" t="s">
        <v>13</v>
      </c>
      <c r="D172">
        <v>0.66800000000000004</v>
      </c>
    </row>
    <row r="173" spans="1:4" x14ac:dyDescent="0.3">
      <c r="A173">
        <v>1</v>
      </c>
      <c r="B173">
        <f>COUNTIFS($A$2:A173,A173,$C$2:C173,"conf_1")</f>
        <v>9</v>
      </c>
      <c r="C173" t="s">
        <v>14</v>
      </c>
      <c r="D173">
        <v>0.123</v>
      </c>
    </row>
    <row r="174" spans="1:4" x14ac:dyDescent="0.3">
      <c r="A174">
        <v>1</v>
      </c>
      <c r="B174">
        <f>COUNTIFS($A$2:A174,A174,$C$2:C174,"conf_1")</f>
        <v>9</v>
      </c>
      <c r="C174" t="s">
        <v>15</v>
      </c>
      <c r="D174">
        <v>0.70399999999999996</v>
      </c>
    </row>
    <row r="175" spans="1:4" x14ac:dyDescent="0.3">
      <c r="A175">
        <v>1</v>
      </c>
      <c r="B175">
        <f>COUNTIFS($A$2:A175,A175,$C$2:C175,"conf_1")</f>
        <v>9</v>
      </c>
      <c r="C175" t="s">
        <v>16</v>
      </c>
      <c r="D175">
        <v>0.128</v>
      </c>
    </row>
    <row r="176" spans="1:4" x14ac:dyDescent="0.3">
      <c r="A176">
        <v>1</v>
      </c>
      <c r="B176">
        <f>COUNTIFS($A$2:A176,A176,$C$2:C176,"conf_1")</f>
        <v>9</v>
      </c>
      <c r="C176" t="s">
        <v>17</v>
      </c>
      <c r="D176">
        <v>0.224</v>
      </c>
    </row>
    <row r="177" spans="1:4" x14ac:dyDescent="0.3">
      <c r="A177">
        <v>1</v>
      </c>
      <c r="B177">
        <f>COUNTIFS($A$2:A177,A177,$C$2:C177,"conf_1")</f>
        <v>9</v>
      </c>
      <c r="C177" t="s">
        <v>18</v>
      </c>
      <c r="D177">
        <v>0.158</v>
      </c>
    </row>
    <row r="178" spans="1:4" x14ac:dyDescent="0.3">
      <c r="A178">
        <v>1</v>
      </c>
      <c r="B178">
        <f>COUNTIFS($A$2:A178,A178,$C$2:C178,"conf_1")</f>
        <v>9</v>
      </c>
      <c r="C178" t="s">
        <v>19</v>
      </c>
      <c r="D178">
        <v>0.65300000000000002</v>
      </c>
    </row>
    <row r="179" spans="1:4" x14ac:dyDescent="0.3">
      <c r="A179">
        <v>1</v>
      </c>
      <c r="B179">
        <f>COUNTIFS($A$2:A179,A179,$C$2:C179,"conf_1")</f>
        <v>9</v>
      </c>
      <c r="C179" t="s">
        <v>20</v>
      </c>
      <c r="D179">
        <v>0.67900000000000005</v>
      </c>
    </row>
    <row r="180" spans="1:4" x14ac:dyDescent="0.3">
      <c r="A180">
        <v>1</v>
      </c>
      <c r="B180">
        <f>COUNTIFS($A$2:A180,A180,$C$2:C180,"conf_1")</f>
        <v>9</v>
      </c>
      <c r="C180" t="s">
        <v>21</v>
      </c>
      <c r="D180">
        <v>0.16800000000000001</v>
      </c>
    </row>
    <row r="181" spans="1:4" x14ac:dyDescent="0.3">
      <c r="A181">
        <v>1</v>
      </c>
      <c r="B181">
        <f>COUNTIFS($A$2:A181,A181,$C$2:C181,"conf_1")</f>
        <v>9</v>
      </c>
      <c r="C181" t="s">
        <v>22</v>
      </c>
      <c r="D181">
        <v>0.111</v>
      </c>
    </row>
    <row r="182" spans="1:4" x14ac:dyDescent="0.3">
      <c r="A182">
        <v>1</v>
      </c>
      <c r="B182">
        <f>COUNTIFS($A$2:A182,A182,$C$2:C182,"conf_1")</f>
        <v>10</v>
      </c>
      <c r="C182" t="s">
        <v>3</v>
      </c>
      <c r="D182">
        <v>0.68600000000000005</v>
      </c>
    </row>
    <row r="183" spans="1:4" x14ac:dyDescent="0.3">
      <c r="A183">
        <v>1</v>
      </c>
      <c r="B183">
        <f>COUNTIFS($A$2:A183,A183,$C$2:C183,"conf_1")</f>
        <v>10</v>
      </c>
      <c r="C183" t="s">
        <v>4</v>
      </c>
      <c r="D183">
        <v>0.61799999999999999</v>
      </c>
    </row>
    <row r="184" spans="1:4" x14ac:dyDescent="0.3">
      <c r="A184">
        <v>1</v>
      </c>
      <c r="B184">
        <f>COUNTIFS($A$2:A184,A184,$C$2:C184,"conf_1")</f>
        <v>10</v>
      </c>
      <c r="C184" t="s">
        <v>5</v>
      </c>
      <c r="D184">
        <v>0.627</v>
      </c>
    </row>
    <row r="185" spans="1:4" x14ac:dyDescent="0.3">
      <c r="A185">
        <v>1</v>
      </c>
      <c r="B185">
        <f>COUNTIFS($A$2:A185,A185,$C$2:C185,"conf_1")</f>
        <v>10</v>
      </c>
      <c r="C185" t="s">
        <v>6</v>
      </c>
      <c r="D185">
        <v>0.61299999999999999</v>
      </c>
    </row>
    <row r="186" spans="1:4" x14ac:dyDescent="0.3">
      <c r="A186">
        <v>1</v>
      </c>
      <c r="B186">
        <f>COUNTIFS($A$2:A186,A186,$C$2:C186,"conf_1")</f>
        <v>10</v>
      </c>
      <c r="C186" t="s">
        <v>7</v>
      </c>
      <c r="D186">
        <v>0.64200000000000002</v>
      </c>
    </row>
    <row r="187" spans="1:4" x14ac:dyDescent="0.3">
      <c r="A187">
        <v>1</v>
      </c>
      <c r="B187">
        <f>COUNTIFS($A$2:A187,A187,$C$2:C187,"conf_1")</f>
        <v>10</v>
      </c>
      <c r="C187" t="s">
        <v>8</v>
      </c>
      <c r="D187">
        <v>0.60899999999999999</v>
      </c>
    </row>
    <row r="188" spans="1:4" x14ac:dyDescent="0.3">
      <c r="A188">
        <v>1</v>
      </c>
      <c r="B188">
        <f>COUNTIFS($A$2:A188,A188,$C$2:C188,"conf_1")</f>
        <v>10</v>
      </c>
      <c r="C188" t="s">
        <v>9</v>
      </c>
      <c r="D188">
        <v>0.19800000000000001</v>
      </c>
    </row>
    <row r="189" spans="1:4" x14ac:dyDescent="0.3">
      <c r="A189">
        <v>1</v>
      </c>
      <c r="B189">
        <f>COUNTIFS($A$2:A189,A189,$C$2:C189,"conf_1")</f>
        <v>10</v>
      </c>
      <c r="C189" t="s">
        <v>10</v>
      </c>
      <c r="D189">
        <v>0.68500000000000005</v>
      </c>
    </row>
    <row r="190" spans="1:4" x14ac:dyDescent="0.3">
      <c r="A190">
        <v>1</v>
      </c>
      <c r="B190">
        <f>COUNTIFS($A$2:A190,A190,$C$2:C190,"conf_1")</f>
        <v>10</v>
      </c>
      <c r="C190" t="s">
        <v>11</v>
      </c>
      <c r="D190">
        <v>0.621</v>
      </c>
    </row>
    <row r="191" spans="1:4" x14ac:dyDescent="0.3">
      <c r="A191">
        <v>1</v>
      </c>
      <c r="B191">
        <f>COUNTIFS($A$2:A191,A191,$C$2:C191,"conf_1")</f>
        <v>10</v>
      </c>
      <c r="C191" t="s">
        <v>12</v>
      </c>
      <c r="D191">
        <v>0.68700000000000006</v>
      </c>
    </row>
    <row r="192" spans="1:4" x14ac:dyDescent="0.3">
      <c r="A192">
        <v>1</v>
      </c>
      <c r="B192">
        <f>COUNTIFS($A$2:A192,A192,$C$2:C192,"conf_1")</f>
        <v>10</v>
      </c>
      <c r="C192" t="s">
        <v>13</v>
      </c>
      <c r="D192">
        <v>0.66700000000000004</v>
      </c>
    </row>
    <row r="193" spans="1:4" x14ac:dyDescent="0.3">
      <c r="A193">
        <v>1</v>
      </c>
      <c r="B193">
        <f>COUNTIFS($A$2:A193,A193,$C$2:C193,"conf_1")</f>
        <v>10</v>
      </c>
      <c r="C193" t="s">
        <v>14</v>
      </c>
      <c r="D193">
        <v>0.109</v>
      </c>
    </row>
    <row r="194" spans="1:4" x14ac:dyDescent="0.3">
      <c r="A194">
        <v>1</v>
      </c>
      <c r="B194">
        <f>COUNTIFS($A$2:A194,A194,$C$2:C194,"conf_1")</f>
        <v>10</v>
      </c>
      <c r="C194" t="s">
        <v>15</v>
      </c>
      <c r="D194">
        <v>0.70099999999999996</v>
      </c>
    </row>
    <row r="195" spans="1:4" x14ac:dyDescent="0.3">
      <c r="A195">
        <v>1</v>
      </c>
      <c r="B195">
        <f>COUNTIFS($A$2:A195,A195,$C$2:C195,"conf_1")</f>
        <v>10</v>
      </c>
      <c r="C195" t="s">
        <v>16</v>
      </c>
      <c r="D195">
        <v>0.11600000000000001</v>
      </c>
    </row>
    <row r="196" spans="1:4" x14ac:dyDescent="0.3">
      <c r="A196">
        <v>1</v>
      </c>
      <c r="B196">
        <f>COUNTIFS($A$2:A196,A196,$C$2:C196,"conf_1")</f>
        <v>10</v>
      </c>
      <c r="C196" t="s">
        <v>17</v>
      </c>
      <c r="D196">
        <v>0.218</v>
      </c>
    </row>
    <row r="197" spans="1:4" x14ac:dyDescent="0.3">
      <c r="A197">
        <v>1</v>
      </c>
      <c r="B197">
        <f>COUNTIFS($A$2:A197,A197,$C$2:C197,"conf_1")</f>
        <v>10</v>
      </c>
      <c r="C197" t="s">
        <v>18</v>
      </c>
      <c r="D197">
        <v>0.151</v>
      </c>
    </row>
    <row r="198" spans="1:4" x14ac:dyDescent="0.3">
      <c r="A198">
        <v>1</v>
      </c>
      <c r="B198">
        <f>COUNTIFS($A$2:A198,A198,$C$2:C198,"conf_1")</f>
        <v>10</v>
      </c>
      <c r="C198" t="s">
        <v>19</v>
      </c>
      <c r="D198">
        <v>0.65200000000000002</v>
      </c>
    </row>
    <row r="199" spans="1:4" x14ac:dyDescent="0.3">
      <c r="A199">
        <v>1</v>
      </c>
      <c r="B199">
        <f>COUNTIFS($A$2:A199,A199,$C$2:C199,"conf_1")</f>
        <v>10</v>
      </c>
      <c r="C199" t="s">
        <v>20</v>
      </c>
      <c r="D199">
        <v>0.67700000000000005</v>
      </c>
    </row>
    <row r="200" spans="1:4" x14ac:dyDescent="0.3">
      <c r="A200">
        <v>1</v>
      </c>
      <c r="B200">
        <f>COUNTIFS($A$2:A200,A200,$C$2:C200,"conf_1")</f>
        <v>10</v>
      </c>
      <c r="C200" t="s">
        <v>21</v>
      </c>
      <c r="D200">
        <v>0.158</v>
      </c>
    </row>
    <row r="201" spans="1:4" x14ac:dyDescent="0.3">
      <c r="A201">
        <v>1</v>
      </c>
      <c r="B201">
        <f>COUNTIFS($A$2:A201,A201,$C$2:C201,"conf_1")</f>
        <v>10</v>
      </c>
      <c r="C201" t="s">
        <v>22</v>
      </c>
      <c r="D201">
        <v>0.112</v>
      </c>
    </row>
    <row r="202" spans="1:4" x14ac:dyDescent="0.3">
      <c r="A202">
        <v>2</v>
      </c>
      <c r="B202">
        <f>COUNTIFS($A$2:A202,A202,$C$2:C202,"conf_1")</f>
        <v>1</v>
      </c>
      <c r="C202" t="s">
        <v>3</v>
      </c>
      <c r="D202">
        <v>0.66800000000000004</v>
      </c>
    </row>
    <row r="203" spans="1:4" x14ac:dyDescent="0.3">
      <c r="A203">
        <v>2</v>
      </c>
      <c r="B203">
        <f>COUNTIFS($A$2:A203,A203,$C$2:C203,"conf_1")</f>
        <v>1</v>
      </c>
      <c r="C203" t="s">
        <v>4</v>
      </c>
      <c r="D203">
        <v>0.61499999999999999</v>
      </c>
    </row>
    <row r="204" spans="1:4" x14ac:dyDescent="0.3">
      <c r="A204">
        <v>2</v>
      </c>
      <c r="B204">
        <f>COUNTIFS($A$2:A204,A204,$C$2:C204,"conf_1")</f>
        <v>1</v>
      </c>
      <c r="C204" t="s">
        <v>5</v>
      </c>
      <c r="D204">
        <v>0.621</v>
      </c>
    </row>
    <row r="205" spans="1:4" x14ac:dyDescent="0.3">
      <c r="A205">
        <v>2</v>
      </c>
      <c r="B205">
        <f>COUNTIFS($A$2:A205,A205,$C$2:C205,"conf_1")</f>
        <v>1</v>
      </c>
      <c r="C205" t="s">
        <v>6</v>
      </c>
      <c r="D205">
        <v>0.61</v>
      </c>
    </row>
    <row r="206" spans="1:4" x14ac:dyDescent="0.3">
      <c r="A206">
        <v>2</v>
      </c>
      <c r="B206">
        <f>COUNTIFS($A$2:A206,A206,$C$2:C206,"conf_1")</f>
        <v>1</v>
      </c>
      <c r="C206" t="s">
        <v>7</v>
      </c>
      <c r="D206">
        <v>0.63100000000000001</v>
      </c>
    </row>
    <row r="207" spans="1:4" x14ac:dyDescent="0.3">
      <c r="A207">
        <v>2</v>
      </c>
      <c r="B207">
        <f>COUNTIFS($A$2:A207,A207,$C$2:C207,"conf_1")</f>
        <v>1</v>
      </c>
      <c r="C207" t="s">
        <v>8</v>
      </c>
      <c r="D207">
        <v>0.61199999999999999</v>
      </c>
    </row>
    <row r="208" spans="1:4" x14ac:dyDescent="0.3">
      <c r="A208">
        <v>2</v>
      </c>
      <c r="B208">
        <f>COUNTIFS($A$2:A208,A208,$C$2:C208,"conf_1")</f>
        <v>1</v>
      </c>
      <c r="C208" t="s">
        <v>9</v>
      </c>
      <c r="D208">
        <v>0.14399999999999999</v>
      </c>
    </row>
    <row r="209" spans="1:4" x14ac:dyDescent="0.3">
      <c r="A209">
        <v>2</v>
      </c>
      <c r="B209">
        <f>COUNTIFS($A$2:A209,A209,$C$2:C209,"conf_1")</f>
        <v>1</v>
      </c>
      <c r="C209" t="s">
        <v>10</v>
      </c>
      <c r="D209">
        <v>0.66300000000000003</v>
      </c>
    </row>
    <row r="210" spans="1:4" x14ac:dyDescent="0.3">
      <c r="A210">
        <v>2</v>
      </c>
      <c r="B210">
        <f>COUNTIFS($A$2:A210,A210,$C$2:C210,"conf_1")</f>
        <v>1</v>
      </c>
      <c r="C210" t="s">
        <v>11</v>
      </c>
      <c r="D210">
        <v>0.61899999999999999</v>
      </c>
    </row>
    <row r="211" spans="1:4" x14ac:dyDescent="0.3">
      <c r="A211">
        <v>2</v>
      </c>
      <c r="B211">
        <f>COUNTIFS($A$2:A211,A211,$C$2:C211,"conf_1")</f>
        <v>1</v>
      </c>
      <c r="C211" t="s">
        <v>12</v>
      </c>
      <c r="D211">
        <v>0.66700000000000004</v>
      </c>
    </row>
    <row r="212" spans="1:4" x14ac:dyDescent="0.3">
      <c r="A212">
        <v>2</v>
      </c>
      <c r="B212">
        <f>COUNTIFS($A$2:A212,A212,$C$2:C212,"conf_1")</f>
        <v>1</v>
      </c>
      <c r="C212" t="s">
        <v>13</v>
      </c>
      <c r="D212">
        <v>0.65300000000000002</v>
      </c>
    </row>
    <row r="213" spans="1:4" x14ac:dyDescent="0.3">
      <c r="A213">
        <v>2</v>
      </c>
      <c r="B213">
        <f>COUNTIFS($A$2:A213,A213,$C$2:C213,"conf_1")</f>
        <v>1</v>
      </c>
      <c r="C213" t="s">
        <v>14</v>
      </c>
      <c r="D213">
        <v>2.5999999999999999E-2</v>
      </c>
    </row>
    <row r="214" spans="1:4" x14ac:dyDescent="0.3">
      <c r="A214">
        <v>2</v>
      </c>
      <c r="B214">
        <f>COUNTIFS($A$2:A214,A214,$C$2:C214,"conf_1")</f>
        <v>1</v>
      </c>
      <c r="C214" t="s">
        <v>15</v>
      </c>
      <c r="D214">
        <v>0.68100000000000005</v>
      </c>
    </row>
    <row r="215" spans="1:4" x14ac:dyDescent="0.3">
      <c r="A215">
        <v>2</v>
      </c>
      <c r="B215">
        <f>COUNTIFS($A$2:A215,A215,$C$2:C215,"conf_1")</f>
        <v>1</v>
      </c>
      <c r="C215" t="s">
        <v>16</v>
      </c>
      <c r="D215">
        <v>7.0999999999999994E-2</v>
      </c>
    </row>
    <row r="216" spans="1:4" x14ac:dyDescent="0.3">
      <c r="A216">
        <v>2</v>
      </c>
      <c r="B216">
        <f>COUNTIFS($A$2:A216,A216,$C$2:C216,"conf_1")</f>
        <v>1</v>
      </c>
      <c r="C216" t="s">
        <v>17</v>
      </c>
      <c r="D216">
        <v>0.17599999999999999</v>
      </c>
    </row>
    <row r="217" spans="1:4" x14ac:dyDescent="0.3">
      <c r="A217">
        <v>2</v>
      </c>
      <c r="B217">
        <f>COUNTIFS($A$2:A217,A217,$C$2:C217,"conf_1")</f>
        <v>1</v>
      </c>
      <c r="C217" t="s">
        <v>18</v>
      </c>
      <c r="D217">
        <v>0.16</v>
      </c>
    </row>
    <row r="218" spans="1:4" x14ac:dyDescent="0.3">
      <c r="A218">
        <v>2</v>
      </c>
      <c r="B218">
        <f>COUNTIFS($A$2:A218,A218,$C$2:C218,"conf_1")</f>
        <v>1</v>
      </c>
      <c r="C218" t="s">
        <v>19</v>
      </c>
      <c r="D218">
        <v>0.63700000000000001</v>
      </c>
    </row>
    <row r="219" spans="1:4" x14ac:dyDescent="0.3">
      <c r="A219">
        <v>2</v>
      </c>
      <c r="B219">
        <f>COUNTIFS($A$2:A219,A219,$C$2:C219,"conf_1")</f>
        <v>1</v>
      </c>
      <c r="C219" t="s">
        <v>20</v>
      </c>
      <c r="D219">
        <v>0.65700000000000003</v>
      </c>
    </row>
    <row r="220" spans="1:4" x14ac:dyDescent="0.3">
      <c r="A220">
        <v>2</v>
      </c>
      <c r="B220">
        <f>COUNTIFS($A$2:A220,A220,$C$2:C220,"conf_1")</f>
        <v>1</v>
      </c>
      <c r="C220" t="s">
        <v>21</v>
      </c>
      <c r="D220">
        <v>0.17100000000000001</v>
      </c>
    </row>
    <row r="221" spans="1:4" x14ac:dyDescent="0.3">
      <c r="A221">
        <v>2</v>
      </c>
      <c r="B221">
        <f>COUNTIFS($A$2:A221,A221,$C$2:C221,"conf_1")</f>
        <v>1</v>
      </c>
      <c r="C221" t="s">
        <v>22</v>
      </c>
      <c r="D221">
        <v>0.128</v>
      </c>
    </row>
    <row r="222" spans="1:4" x14ac:dyDescent="0.3">
      <c r="A222">
        <v>2</v>
      </c>
      <c r="B222">
        <f>COUNTIFS($A$2:A222,A222,$C$2:C222,"conf_1")</f>
        <v>2</v>
      </c>
      <c r="C222" t="s">
        <v>3</v>
      </c>
      <c r="D222">
        <v>0.66400000000000003</v>
      </c>
    </row>
    <row r="223" spans="1:4" x14ac:dyDescent="0.3">
      <c r="A223">
        <v>2</v>
      </c>
      <c r="B223">
        <f>COUNTIFS($A$2:A223,A223,$C$2:C223,"conf_1")</f>
        <v>2</v>
      </c>
      <c r="C223" t="s">
        <v>4</v>
      </c>
      <c r="D223">
        <v>0.61299999999999999</v>
      </c>
    </row>
    <row r="224" spans="1:4" x14ac:dyDescent="0.3">
      <c r="A224">
        <v>2</v>
      </c>
      <c r="B224">
        <f>COUNTIFS($A$2:A224,A224,$C$2:C224,"conf_1")</f>
        <v>2</v>
      </c>
      <c r="C224" t="s">
        <v>5</v>
      </c>
      <c r="D224">
        <v>0.61899999999999999</v>
      </c>
    </row>
    <row r="225" spans="1:4" x14ac:dyDescent="0.3">
      <c r="A225">
        <v>2</v>
      </c>
      <c r="B225">
        <f>COUNTIFS($A$2:A225,A225,$C$2:C225,"conf_1")</f>
        <v>2</v>
      </c>
      <c r="C225" t="s">
        <v>6</v>
      </c>
      <c r="D225">
        <v>0.60799999999999998</v>
      </c>
    </row>
    <row r="226" spans="1:4" x14ac:dyDescent="0.3">
      <c r="A226">
        <v>2</v>
      </c>
      <c r="B226">
        <f>COUNTIFS($A$2:A226,A226,$C$2:C226,"conf_1")</f>
        <v>2</v>
      </c>
      <c r="C226" t="s">
        <v>7</v>
      </c>
      <c r="D226">
        <v>0.628</v>
      </c>
    </row>
    <row r="227" spans="1:4" x14ac:dyDescent="0.3">
      <c r="A227">
        <v>2</v>
      </c>
      <c r="B227">
        <f>COUNTIFS($A$2:A227,A227,$C$2:C227,"conf_1")</f>
        <v>2</v>
      </c>
      <c r="C227" t="s">
        <v>8</v>
      </c>
      <c r="D227">
        <v>0.61199999999999999</v>
      </c>
    </row>
    <row r="228" spans="1:4" x14ac:dyDescent="0.3">
      <c r="A228">
        <v>2</v>
      </c>
      <c r="B228">
        <f>COUNTIFS($A$2:A228,A228,$C$2:C228,"conf_1")</f>
        <v>2</v>
      </c>
      <c r="C228" t="s">
        <v>9</v>
      </c>
      <c r="D228">
        <v>0.13500000000000001</v>
      </c>
    </row>
    <row r="229" spans="1:4" x14ac:dyDescent="0.3">
      <c r="A229">
        <v>2</v>
      </c>
      <c r="B229">
        <f>COUNTIFS($A$2:A229,A229,$C$2:C229,"conf_1")</f>
        <v>2</v>
      </c>
      <c r="C229" t="s">
        <v>10</v>
      </c>
      <c r="D229">
        <v>0.65900000000000003</v>
      </c>
    </row>
    <row r="230" spans="1:4" x14ac:dyDescent="0.3">
      <c r="A230">
        <v>2</v>
      </c>
      <c r="B230">
        <f>COUNTIFS($A$2:A230,A230,$C$2:C230,"conf_1")</f>
        <v>2</v>
      </c>
      <c r="C230" t="s">
        <v>11</v>
      </c>
      <c r="D230">
        <v>0.61699999999999999</v>
      </c>
    </row>
    <row r="231" spans="1:4" x14ac:dyDescent="0.3">
      <c r="A231">
        <v>2</v>
      </c>
      <c r="B231">
        <f>COUNTIFS($A$2:A231,A231,$C$2:C231,"conf_1")</f>
        <v>2</v>
      </c>
      <c r="C231" t="s">
        <v>12</v>
      </c>
      <c r="D231">
        <v>0.66200000000000003</v>
      </c>
    </row>
    <row r="232" spans="1:4" x14ac:dyDescent="0.3">
      <c r="A232">
        <v>2</v>
      </c>
      <c r="B232">
        <f>COUNTIFS($A$2:A232,A232,$C$2:C232,"conf_1")</f>
        <v>2</v>
      </c>
      <c r="C232" t="s">
        <v>13</v>
      </c>
      <c r="D232">
        <v>0.64900000000000002</v>
      </c>
    </row>
    <row r="233" spans="1:4" x14ac:dyDescent="0.3">
      <c r="A233">
        <v>2</v>
      </c>
      <c r="B233">
        <f>COUNTIFS($A$2:A233,A233,$C$2:C233,"conf_1")</f>
        <v>2</v>
      </c>
      <c r="C233" t="s">
        <v>14</v>
      </c>
      <c r="D233">
        <v>8.1000000000000003E-2</v>
      </c>
    </row>
    <row r="234" spans="1:4" x14ac:dyDescent="0.3">
      <c r="A234">
        <v>2</v>
      </c>
      <c r="B234">
        <f>COUNTIFS($A$2:A234,A234,$C$2:C234,"conf_1")</f>
        <v>2</v>
      </c>
      <c r="C234" t="s">
        <v>15</v>
      </c>
      <c r="D234">
        <v>0.67700000000000005</v>
      </c>
    </row>
    <row r="235" spans="1:4" x14ac:dyDescent="0.3">
      <c r="A235">
        <v>2</v>
      </c>
      <c r="B235">
        <f>COUNTIFS($A$2:A235,A235,$C$2:C235,"conf_1")</f>
        <v>2</v>
      </c>
      <c r="C235" t="s">
        <v>16</v>
      </c>
      <c r="D235">
        <v>7.0000000000000007E-2</v>
      </c>
    </row>
    <row r="236" spans="1:4" x14ac:dyDescent="0.3">
      <c r="A236">
        <v>2</v>
      </c>
      <c r="B236">
        <f>COUNTIFS($A$2:A236,A236,$C$2:C236,"conf_1")</f>
        <v>2</v>
      </c>
      <c r="C236" t="s">
        <v>17</v>
      </c>
      <c r="D236">
        <v>0.16900000000000001</v>
      </c>
    </row>
    <row r="237" spans="1:4" x14ac:dyDescent="0.3">
      <c r="A237">
        <v>2</v>
      </c>
      <c r="B237">
        <f>COUNTIFS($A$2:A237,A237,$C$2:C237,"conf_1")</f>
        <v>2</v>
      </c>
      <c r="C237" t="s">
        <v>18</v>
      </c>
      <c r="D237">
        <v>0.17</v>
      </c>
    </row>
    <row r="238" spans="1:4" x14ac:dyDescent="0.3">
      <c r="A238">
        <v>2</v>
      </c>
      <c r="B238">
        <f>COUNTIFS($A$2:A238,A238,$C$2:C238,"conf_1")</f>
        <v>2</v>
      </c>
      <c r="C238" t="s">
        <v>19</v>
      </c>
      <c r="D238">
        <v>0.63300000000000001</v>
      </c>
    </row>
    <row r="239" spans="1:4" x14ac:dyDescent="0.3">
      <c r="A239">
        <v>2</v>
      </c>
      <c r="B239">
        <f>COUNTIFS($A$2:A239,A239,$C$2:C239,"conf_1")</f>
        <v>2</v>
      </c>
      <c r="C239" t="s">
        <v>20</v>
      </c>
      <c r="D239">
        <v>0.65300000000000002</v>
      </c>
    </row>
    <row r="240" spans="1:4" x14ac:dyDescent="0.3">
      <c r="A240">
        <v>2</v>
      </c>
      <c r="B240">
        <f>COUNTIFS($A$2:A240,A240,$C$2:C240,"conf_1")</f>
        <v>2</v>
      </c>
      <c r="C240" t="s">
        <v>21</v>
      </c>
      <c r="D240">
        <v>0.17899999999999999</v>
      </c>
    </row>
    <row r="241" spans="1:4" x14ac:dyDescent="0.3">
      <c r="A241">
        <v>2</v>
      </c>
      <c r="B241">
        <f>COUNTIFS($A$2:A241,A241,$C$2:C241,"conf_1")</f>
        <v>2</v>
      </c>
      <c r="C241" t="s">
        <v>22</v>
      </c>
      <c r="D241">
        <v>0.13700000000000001</v>
      </c>
    </row>
    <row r="242" spans="1:4" x14ac:dyDescent="0.3">
      <c r="A242">
        <v>2</v>
      </c>
      <c r="B242">
        <f>COUNTIFS($A$2:A242,A242,$C$2:C242,"conf_1")</f>
        <v>3</v>
      </c>
      <c r="C242" t="s">
        <v>3</v>
      </c>
      <c r="D242">
        <v>0.67100000000000004</v>
      </c>
    </row>
    <row r="243" spans="1:4" x14ac:dyDescent="0.3">
      <c r="A243">
        <v>2</v>
      </c>
      <c r="B243">
        <f>COUNTIFS($A$2:A243,A243,$C$2:C243,"conf_1")</f>
        <v>3</v>
      </c>
      <c r="C243" t="s">
        <v>4</v>
      </c>
      <c r="D243">
        <v>0.61599999999999999</v>
      </c>
    </row>
    <row r="244" spans="1:4" x14ac:dyDescent="0.3">
      <c r="A244">
        <v>2</v>
      </c>
      <c r="B244">
        <f>COUNTIFS($A$2:A244,A244,$C$2:C244,"conf_1")</f>
        <v>3</v>
      </c>
      <c r="C244" t="s">
        <v>5</v>
      </c>
      <c r="D244">
        <v>0.623</v>
      </c>
    </row>
    <row r="245" spans="1:4" x14ac:dyDescent="0.3">
      <c r="A245">
        <v>2</v>
      </c>
      <c r="B245">
        <f>COUNTIFS($A$2:A245,A245,$C$2:C245,"conf_1")</f>
        <v>3</v>
      </c>
      <c r="C245" t="s">
        <v>6</v>
      </c>
      <c r="D245">
        <v>0.61</v>
      </c>
    </row>
    <row r="246" spans="1:4" x14ac:dyDescent="0.3">
      <c r="A246">
        <v>2</v>
      </c>
      <c r="B246">
        <f>COUNTIFS($A$2:A246,A246,$C$2:C246,"conf_1")</f>
        <v>3</v>
      </c>
      <c r="C246" t="s">
        <v>7</v>
      </c>
      <c r="D246">
        <v>0.63300000000000001</v>
      </c>
    </row>
    <row r="247" spans="1:4" x14ac:dyDescent="0.3">
      <c r="A247">
        <v>2</v>
      </c>
      <c r="B247">
        <f>COUNTIFS($A$2:A247,A247,$C$2:C247,"conf_1")</f>
        <v>3</v>
      </c>
      <c r="C247" t="s">
        <v>8</v>
      </c>
      <c r="D247">
        <v>0.61199999999999999</v>
      </c>
    </row>
    <row r="248" spans="1:4" x14ac:dyDescent="0.3">
      <c r="A248">
        <v>2</v>
      </c>
      <c r="B248">
        <f>COUNTIFS($A$2:A248,A248,$C$2:C248,"conf_1")</f>
        <v>3</v>
      </c>
      <c r="C248" t="s">
        <v>9</v>
      </c>
      <c r="D248">
        <v>0.151</v>
      </c>
    </row>
    <row r="249" spans="1:4" x14ac:dyDescent="0.3">
      <c r="A249">
        <v>2</v>
      </c>
      <c r="B249">
        <f>COUNTIFS($A$2:A249,A249,$C$2:C249,"conf_1")</f>
        <v>3</v>
      </c>
      <c r="C249" t="s">
        <v>10</v>
      </c>
      <c r="D249">
        <v>0.66600000000000004</v>
      </c>
    </row>
    <row r="250" spans="1:4" x14ac:dyDescent="0.3">
      <c r="A250">
        <v>2</v>
      </c>
      <c r="B250">
        <f>COUNTIFS($A$2:A250,A250,$C$2:C250,"conf_1")</f>
        <v>3</v>
      </c>
      <c r="C250" t="s">
        <v>11</v>
      </c>
      <c r="D250">
        <v>0.62</v>
      </c>
    </row>
    <row r="251" spans="1:4" x14ac:dyDescent="0.3">
      <c r="A251">
        <v>2</v>
      </c>
      <c r="B251">
        <f>COUNTIFS($A$2:A251,A251,$C$2:C251,"conf_1")</f>
        <v>3</v>
      </c>
      <c r="C251" t="s">
        <v>12</v>
      </c>
      <c r="D251">
        <v>0.67</v>
      </c>
    </row>
    <row r="252" spans="1:4" x14ac:dyDescent="0.3">
      <c r="A252">
        <v>2</v>
      </c>
      <c r="B252">
        <f>COUNTIFS($A$2:A252,A252,$C$2:C252,"conf_1")</f>
        <v>3</v>
      </c>
      <c r="C252" t="s">
        <v>13</v>
      </c>
      <c r="D252">
        <v>0.65500000000000003</v>
      </c>
    </row>
    <row r="253" spans="1:4" x14ac:dyDescent="0.3">
      <c r="A253">
        <v>2</v>
      </c>
      <c r="B253">
        <f>COUNTIFS($A$2:A253,A253,$C$2:C253,"conf_1")</f>
        <v>3</v>
      </c>
      <c r="C253" t="s">
        <v>14</v>
      </c>
      <c r="D253">
        <v>4.3999999999999997E-2</v>
      </c>
    </row>
    <row r="254" spans="1:4" x14ac:dyDescent="0.3">
      <c r="A254">
        <v>2</v>
      </c>
      <c r="B254">
        <f>COUNTIFS($A$2:A254,A254,$C$2:C254,"conf_1")</f>
        <v>3</v>
      </c>
      <c r="C254" t="s">
        <v>15</v>
      </c>
      <c r="D254">
        <v>0.68500000000000005</v>
      </c>
    </row>
    <row r="255" spans="1:4" x14ac:dyDescent="0.3">
      <c r="A255">
        <v>2</v>
      </c>
      <c r="B255">
        <f>COUNTIFS($A$2:A255,A255,$C$2:C255,"conf_1")</f>
        <v>3</v>
      </c>
      <c r="C255" t="s">
        <v>16</v>
      </c>
      <c r="D255">
        <v>7.1999999999999995E-2</v>
      </c>
    </row>
    <row r="256" spans="1:4" x14ac:dyDescent="0.3">
      <c r="A256">
        <v>2</v>
      </c>
      <c r="B256">
        <f>COUNTIFS($A$2:A256,A256,$C$2:C256,"conf_1")</f>
        <v>3</v>
      </c>
      <c r="C256" t="s">
        <v>17</v>
      </c>
      <c r="D256">
        <v>0.18</v>
      </c>
    </row>
    <row r="257" spans="1:4" x14ac:dyDescent="0.3">
      <c r="A257">
        <v>2</v>
      </c>
      <c r="B257">
        <f>COUNTIFS($A$2:A257,A257,$C$2:C257,"conf_1")</f>
        <v>3</v>
      </c>
      <c r="C257" t="s">
        <v>18</v>
      </c>
      <c r="D257">
        <v>0.153</v>
      </c>
    </row>
    <row r="258" spans="1:4" x14ac:dyDescent="0.3">
      <c r="A258">
        <v>2</v>
      </c>
      <c r="B258">
        <f>COUNTIFS($A$2:A258,A258,$C$2:C258,"conf_1")</f>
        <v>3</v>
      </c>
      <c r="C258" t="s">
        <v>19</v>
      </c>
      <c r="D258">
        <v>0.63900000000000001</v>
      </c>
    </row>
    <row r="259" spans="1:4" x14ac:dyDescent="0.3">
      <c r="A259">
        <v>2</v>
      </c>
      <c r="B259">
        <f>COUNTIFS($A$2:A259,A259,$C$2:C259,"conf_1")</f>
        <v>3</v>
      </c>
      <c r="C259" t="s">
        <v>20</v>
      </c>
      <c r="D259">
        <v>0.66</v>
      </c>
    </row>
    <row r="260" spans="1:4" x14ac:dyDescent="0.3">
      <c r="A260">
        <v>2</v>
      </c>
      <c r="B260">
        <f>COUNTIFS($A$2:A260,A260,$C$2:C260,"conf_1")</f>
        <v>3</v>
      </c>
      <c r="C260" t="s">
        <v>21</v>
      </c>
      <c r="D260">
        <v>0.16400000000000001</v>
      </c>
    </row>
    <row r="261" spans="1:4" x14ac:dyDescent="0.3">
      <c r="A261">
        <v>2</v>
      </c>
      <c r="B261">
        <f>COUNTIFS($A$2:A261,A261,$C$2:C261,"conf_1")</f>
        <v>3</v>
      </c>
      <c r="C261" t="s">
        <v>22</v>
      </c>
      <c r="D261">
        <v>0.12</v>
      </c>
    </row>
    <row r="262" spans="1:4" x14ac:dyDescent="0.3">
      <c r="A262">
        <v>2</v>
      </c>
      <c r="B262">
        <f>COUNTIFS($A$2:A262,A262,$C$2:C262,"conf_1")</f>
        <v>4</v>
      </c>
      <c r="C262" t="s">
        <v>3</v>
      </c>
      <c r="D262">
        <v>0.66800000000000004</v>
      </c>
    </row>
    <row r="263" spans="1:4" x14ac:dyDescent="0.3">
      <c r="A263">
        <v>2</v>
      </c>
      <c r="B263">
        <f>COUNTIFS($A$2:A263,A263,$C$2:C263,"conf_1")</f>
        <v>4</v>
      </c>
      <c r="C263" t="s">
        <v>4</v>
      </c>
      <c r="D263">
        <v>0.61399999999999999</v>
      </c>
    </row>
    <row r="264" spans="1:4" x14ac:dyDescent="0.3">
      <c r="A264">
        <v>2</v>
      </c>
      <c r="B264">
        <f>COUNTIFS($A$2:A264,A264,$C$2:C264,"conf_1")</f>
        <v>4</v>
      </c>
      <c r="C264" t="s">
        <v>5</v>
      </c>
      <c r="D264">
        <v>0.621</v>
      </c>
    </row>
    <row r="265" spans="1:4" x14ac:dyDescent="0.3">
      <c r="A265">
        <v>2</v>
      </c>
      <c r="B265">
        <f>COUNTIFS($A$2:A265,A265,$C$2:C265,"conf_1")</f>
        <v>4</v>
      </c>
      <c r="C265" t="s">
        <v>6</v>
      </c>
      <c r="D265">
        <v>0.60899999999999999</v>
      </c>
    </row>
    <row r="266" spans="1:4" x14ac:dyDescent="0.3">
      <c r="A266">
        <v>2</v>
      </c>
      <c r="B266">
        <f>COUNTIFS($A$2:A266,A266,$C$2:C266,"conf_1")</f>
        <v>4</v>
      </c>
      <c r="C266" t="s">
        <v>7</v>
      </c>
      <c r="D266">
        <v>0.63</v>
      </c>
    </row>
    <row r="267" spans="1:4" x14ac:dyDescent="0.3">
      <c r="A267">
        <v>2</v>
      </c>
      <c r="B267">
        <f>COUNTIFS($A$2:A267,A267,$C$2:C267,"conf_1")</f>
        <v>4</v>
      </c>
      <c r="C267" t="s">
        <v>8</v>
      </c>
      <c r="D267">
        <v>0.61199999999999999</v>
      </c>
    </row>
    <row r="268" spans="1:4" x14ac:dyDescent="0.3">
      <c r="A268">
        <v>2</v>
      </c>
      <c r="B268">
        <f>COUNTIFS($A$2:A268,A268,$C$2:C268,"conf_1")</f>
        <v>4</v>
      </c>
      <c r="C268" t="s">
        <v>9</v>
      </c>
      <c r="D268">
        <v>0.14299999999999999</v>
      </c>
    </row>
    <row r="269" spans="1:4" x14ac:dyDescent="0.3">
      <c r="A269">
        <v>2</v>
      </c>
      <c r="B269">
        <f>COUNTIFS($A$2:A269,A269,$C$2:C269,"conf_1")</f>
        <v>4</v>
      </c>
      <c r="C269" t="s">
        <v>10</v>
      </c>
      <c r="D269">
        <v>0.66300000000000003</v>
      </c>
    </row>
    <row r="270" spans="1:4" x14ac:dyDescent="0.3">
      <c r="A270">
        <v>2</v>
      </c>
      <c r="B270">
        <f>COUNTIFS($A$2:A270,A270,$C$2:C270,"conf_1")</f>
        <v>4</v>
      </c>
      <c r="C270" t="s">
        <v>11</v>
      </c>
      <c r="D270">
        <v>0.61799999999999999</v>
      </c>
    </row>
    <row r="271" spans="1:4" x14ac:dyDescent="0.3">
      <c r="A271">
        <v>2</v>
      </c>
      <c r="B271">
        <f>COUNTIFS($A$2:A271,A271,$C$2:C271,"conf_1")</f>
        <v>4</v>
      </c>
      <c r="C271" t="s">
        <v>12</v>
      </c>
      <c r="D271">
        <v>0.66600000000000004</v>
      </c>
    </row>
    <row r="272" spans="1:4" x14ac:dyDescent="0.3">
      <c r="A272">
        <v>2</v>
      </c>
      <c r="B272">
        <f>COUNTIFS($A$2:A272,A272,$C$2:C272,"conf_1")</f>
        <v>4</v>
      </c>
      <c r="C272" t="s">
        <v>13</v>
      </c>
      <c r="D272">
        <v>0.65200000000000002</v>
      </c>
    </row>
    <row r="273" spans="1:4" x14ac:dyDescent="0.3">
      <c r="A273">
        <v>2</v>
      </c>
      <c r="B273">
        <f>COUNTIFS($A$2:A273,A273,$C$2:C273,"conf_1")</f>
        <v>4</v>
      </c>
      <c r="C273" t="s">
        <v>14</v>
      </c>
      <c r="D273">
        <v>0.05</v>
      </c>
    </row>
    <row r="274" spans="1:4" x14ac:dyDescent="0.3">
      <c r="A274">
        <v>2</v>
      </c>
      <c r="B274">
        <f>COUNTIFS($A$2:A274,A274,$C$2:C274,"conf_1")</f>
        <v>4</v>
      </c>
      <c r="C274" t="s">
        <v>15</v>
      </c>
      <c r="D274">
        <v>0.68100000000000005</v>
      </c>
    </row>
    <row r="275" spans="1:4" x14ac:dyDescent="0.3">
      <c r="A275">
        <v>2</v>
      </c>
      <c r="B275">
        <f>COUNTIFS($A$2:A275,A275,$C$2:C275,"conf_1")</f>
        <v>4</v>
      </c>
      <c r="C275" t="s">
        <v>16</v>
      </c>
      <c r="D275">
        <v>7.0000000000000007E-2</v>
      </c>
    </row>
    <row r="276" spans="1:4" x14ac:dyDescent="0.3">
      <c r="A276">
        <v>2</v>
      </c>
      <c r="B276">
        <f>COUNTIFS($A$2:A276,A276,$C$2:C276,"conf_1")</f>
        <v>4</v>
      </c>
      <c r="C276" t="s">
        <v>17</v>
      </c>
      <c r="D276">
        <v>0.17399999999999999</v>
      </c>
    </row>
    <row r="277" spans="1:4" x14ac:dyDescent="0.3">
      <c r="A277">
        <v>2</v>
      </c>
      <c r="B277">
        <f>COUNTIFS($A$2:A277,A277,$C$2:C277,"conf_1")</f>
        <v>4</v>
      </c>
      <c r="C277" t="s">
        <v>18</v>
      </c>
      <c r="D277">
        <v>0.161</v>
      </c>
    </row>
    <row r="278" spans="1:4" x14ac:dyDescent="0.3">
      <c r="A278">
        <v>2</v>
      </c>
      <c r="B278">
        <f>COUNTIFS($A$2:A278,A278,$C$2:C278,"conf_1")</f>
        <v>4</v>
      </c>
      <c r="C278" t="s">
        <v>19</v>
      </c>
      <c r="D278">
        <v>0.63600000000000001</v>
      </c>
    </row>
    <row r="279" spans="1:4" x14ac:dyDescent="0.3">
      <c r="A279">
        <v>2</v>
      </c>
      <c r="B279">
        <f>COUNTIFS($A$2:A279,A279,$C$2:C279,"conf_1")</f>
        <v>4</v>
      </c>
      <c r="C279" t="s">
        <v>20</v>
      </c>
      <c r="D279">
        <v>0.65700000000000003</v>
      </c>
    </row>
    <row r="280" spans="1:4" x14ac:dyDescent="0.3">
      <c r="A280">
        <v>2</v>
      </c>
      <c r="B280">
        <f>COUNTIFS($A$2:A280,A280,$C$2:C280,"conf_1")</f>
        <v>4</v>
      </c>
      <c r="C280" t="s">
        <v>21</v>
      </c>
      <c r="D280">
        <v>0.17199999999999999</v>
      </c>
    </row>
    <row r="281" spans="1:4" x14ac:dyDescent="0.3">
      <c r="A281">
        <v>2</v>
      </c>
      <c r="B281">
        <f>COUNTIFS($A$2:A281,A281,$C$2:C281,"conf_1")</f>
        <v>4</v>
      </c>
      <c r="C281" t="s">
        <v>22</v>
      </c>
      <c r="D281">
        <v>0.128</v>
      </c>
    </row>
    <row r="282" spans="1:4" x14ac:dyDescent="0.3">
      <c r="A282">
        <v>2</v>
      </c>
      <c r="B282">
        <f>COUNTIFS($A$2:A282,A282,$C$2:C282,"conf_1")</f>
        <v>5</v>
      </c>
      <c r="C282" t="s">
        <v>3</v>
      </c>
      <c r="D282">
        <v>0.66700000000000004</v>
      </c>
    </row>
    <row r="283" spans="1:4" x14ac:dyDescent="0.3">
      <c r="A283">
        <v>2</v>
      </c>
      <c r="B283">
        <f>COUNTIFS($A$2:A283,A283,$C$2:C283,"conf_1")</f>
        <v>5</v>
      </c>
      <c r="C283" t="s">
        <v>4</v>
      </c>
      <c r="D283">
        <v>0.61399999999999999</v>
      </c>
    </row>
    <row r="284" spans="1:4" x14ac:dyDescent="0.3">
      <c r="A284">
        <v>2</v>
      </c>
      <c r="B284">
        <f>COUNTIFS($A$2:A284,A284,$C$2:C284,"conf_1")</f>
        <v>5</v>
      </c>
      <c r="C284" t="s">
        <v>5</v>
      </c>
      <c r="D284">
        <v>0.621</v>
      </c>
    </row>
    <row r="285" spans="1:4" x14ac:dyDescent="0.3">
      <c r="A285">
        <v>2</v>
      </c>
      <c r="B285">
        <f>COUNTIFS($A$2:A285,A285,$C$2:C285,"conf_1")</f>
        <v>5</v>
      </c>
      <c r="C285" t="s">
        <v>6</v>
      </c>
      <c r="D285">
        <v>0.60899999999999999</v>
      </c>
    </row>
    <row r="286" spans="1:4" x14ac:dyDescent="0.3">
      <c r="A286">
        <v>2</v>
      </c>
      <c r="B286">
        <f>COUNTIFS($A$2:A286,A286,$C$2:C286,"conf_1")</f>
        <v>5</v>
      </c>
      <c r="C286" t="s">
        <v>7</v>
      </c>
      <c r="D286">
        <v>0.63</v>
      </c>
    </row>
    <row r="287" spans="1:4" x14ac:dyDescent="0.3">
      <c r="A287">
        <v>2</v>
      </c>
      <c r="B287">
        <f>COUNTIFS($A$2:A287,A287,$C$2:C287,"conf_1")</f>
        <v>5</v>
      </c>
      <c r="C287" t="s">
        <v>8</v>
      </c>
      <c r="D287">
        <v>0.61199999999999999</v>
      </c>
    </row>
    <row r="288" spans="1:4" x14ac:dyDescent="0.3">
      <c r="A288">
        <v>2</v>
      </c>
      <c r="B288">
        <f>COUNTIFS($A$2:A288,A288,$C$2:C288,"conf_1")</f>
        <v>5</v>
      </c>
      <c r="C288" t="s">
        <v>9</v>
      </c>
      <c r="D288">
        <v>0.14099999999999999</v>
      </c>
    </row>
    <row r="289" spans="1:4" x14ac:dyDescent="0.3">
      <c r="A289">
        <v>2</v>
      </c>
      <c r="B289">
        <f>COUNTIFS($A$2:A289,A289,$C$2:C289,"conf_1")</f>
        <v>5</v>
      </c>
      <c r="C289" t="s">
        <v>10</v>
      </c>
      <c r="D289">
        <v>0.66200000000000003</v>
      </c>
    </row>
    <row r="290" spans="1:4" x14ac:dyDescent="0.3">
      <c r="A290">
        <v>2</v>
      </c>
      <c r="B290">
        <f>COUNTIFS($A$2:A290,A290,$C$2:C290,"conf_1")</f>
        <v>5</v>
      </c>
      <c r="C290" t="s">
        <v>11</v>
      </c>
      <c r="D290">
        <v>0.61899999999999999</v>
      </c>
    </row>
    <row r="291" spans="1:4" x14ac:dyDescent="0.3">
      <c r="A291">
        <v>2</v>
      </c>
      <c r="B291">
        <f>COUNTIFS($A$2:A291,A291,$C$2:C291,"conf_1")</f>
        <v>5</v>
      </c>
      <c r="C291" t="s">
        <v>12</v>
      </c>
      <c r="D291">
        <v>0.66500000000000004</v>
      </c>
    </row>
    <row r="292" spans="1:4" x14ac:dyDescent="0.3">
      <c r="A292">
        <v>2</v>
      </c>
      <c r="B292">
        <f>COUNTIFS($A$2:A292,A292,$C$2:C292,"conf_1")</f>
        <v>5</v>
      </c>
      <c r="C292" t="s">
        <v>13</v>
      </c>
      <c r="D292">
        <v>0.65200000000000002</v>
      </c>
    </row>
    <row r="293" spans="1:4" x14ac:dyDescent="0.3">
      <c r="A293">
        <v>2</v>
      </c>
      <c r="B293">
        <f>COUNTIFS($A$2:A293,A293,$C$2:C293,"conf_1")</f>
        <v>5</v>
      </c>
      <c r="C293" t="s">
        <v>14</v>
      </c>
      <c r="D293">
        <v>2.5000000000000001E-2</v>
      </c>
    </row>
    <row r="294" spans="1:4" x14ac:dyDescent="0.3">
      <c r="A294">
        <v>2</v>
      </c>
      <c r="B294">
        <f>COUNTIFS($A$2:A294,A294,$C$2:C294,"conf_1")</f>
        <v>5</v>
      </c>
      <c r="C294" t="s">
        <v>15</v>
      </c>
      <c r="D294">
        <v>0.68</v>
      </c>
    </row>
    <row r="295" spans="1:4" x14ac:dyDescent="0.3">
      <c r="A295">
        <v>2</v>
      </c>
      <c r="B295">
        <f>COUNTIFS($A$2:A295,A295,$C$2:C295,"conf_1")</f>
        <v>5</v>
      </c>
      <c r="C295" t="s">
        <v>16</v>
      </c>
      <c r="D295">
        <v>7.0999999999999994E-2</v>
      </c>
    </row>
    <row r="296" spans="1:4" x14ac:dyDescent="0.3">
      <c r="A296">
        <v>2</v>
      </c>
      <c r="B296">
        <f>COUNTIFS($A$2:A296,A296,$C$2:C296,"conf_1")</f>
        <v>5</v>
      </c>
      <c r="C296" t="s">
        <v>17</v>
      </c>
      <c r="D296">
        <v>0.17399999999999999</v>
      </c>
    </row>
    <row r="297" spans="1:4" x14ac:dyDescent="0.3">
      <c r="A297">
        <v>2</v>
      </c>
      <c r="B297">
        <f>COUNTIFS($A$2:A297,A297,$C$2:C297,"conf_1")</f>
        <v>5</v>
      </c>
      <c r="C297" t="s">
        <v>18</v>
      </c>
      <c r="D297">
        <v>0.16300000000000001</v>
      </c>
    </row>
    <row r="298" spans="1:4" x14ac:dyDescent="0.3">
      <c r="A298">
        <v>2</v>
      </c>
      <c r="B298">
        <f>COUNTIFS($A$2:A298,A298,$C$2:C298,"conf_1")</f>
        <v>5</v>
      </c>
      <c r="C298" t="s">
        <v>19</v>
      </c>
      <c r="D298">
        <v>0.63600000000000001</v>
      </c>
    </row>
    <row r="299" spans="1:4" x14ac:dyDescent="0.3">
      <c r="A299">
        <v>2</v>
      </c>
      <c r="B299">
        <f>COUNTIFS($A$2:A299,A299,$C$2:C299,"conf_1")</f>
        <v>5</v>
      </c>
      <c r="C299" t="s">
        <v>20</v>
      </c>
      <c r="D299">
        <v>0.65600000000000003</v>
      </c>
    </row>
    <row r="300" spans="1:4" x14ac:dyDescent="0.3">
      <c r="A300">
        <v>2</v>
      </c>
      <c r="B300">
        <f>COUNTIFS($A$2:A300,A300,$C$2:C300,"conf_1")</f>
        <v>5</v>
      </c>
      <c r="C300" t="s">
        <v>21</v>
      </c>
      <c r="D300">
        <v>0.17299999999999999</v>
      </c>
    </row>
    <row r="301" spans="1:4" x14ac:dyDescent="0.3">
      <c r="A301">
        <v>2</v>
      </c>
      <c r="B301">
        <f>COUNTIFS($A$2:A301,A301,$C$2:C301,"conf_1")</f>
        <v>5</v>
      </c>
      <c r="C301" t="s">
        <v>22</v>
      </c>
      <c r="D301">
        <v>0.13200000000000001</v>
      </c>
    </row>
    <row r="302" spans="1:4" x14ac:dyDescent="0.3">
      <c r="A302">
        <v>2</v>
      </c>
      <c r="B302">
        <f>COUNTIFS($A$2:A302,A302,$C$2:C302,"conf_1")</f>
        <v>6</v>
      </c>
      <c r="C302" t="s">
        <v>3</v>
      </c>
      <c r="D302">
        <v>0.67</v>
      </c>
    </row>
    <row r="303" spans="1:4" x14ac:dyDescent="0.3">
      <c r="A303">
        <v>2</v>
      </c>
      <c r="B303">
        <f>COUNTIFS($A$2:A303,A303,$C$2:C303,"conf_1")</f>
        <v>6</v>
      </c>
      <c r="C303" t="s">
        <v>4</v>
      </c>
      <c r="D303">
        <v>0.61499999999999999</v>
      </c>
    </row>
    <row r="304" spans="1:4" x14ac:dyDescent="0.3">
      <c r="A304">
        <v>2</v>
      </c>
      <c r="B304">
        <f>COUNTIFS($A$2:A304,A304,$C$2:C304,"conf_1")</f>
        <v>6</v>
      </c>
      <c r="C304" t="s">
        <v>5</v>
      </c>
      <c r="D304">
        <v>0.622</v>
      </c>
    </row>
    <row r="305" spans="1:4" x14ac:dyDescent="0.3">
      <c r="A305">
        <v>2</v>
      </c>
      <c r="B305">
        <f>COUNTIFS($A$2:A305,A305,$C$2:C305,"conf_1")</f>
        <v>6</v>
      </c>
      <c r="C305" t="s">
        <v>6</v>
      </c>
      <c r="D305">
        <v>0.61</v>
      </c>
    </row>
    <row r="306" spans="1:4" x14ac:dyDescent="0.3">
      <c r="A306">
        <v>2</v>
      </c>
      <c r="B306">
        <f>COUNTIFS($A$2:A306,A306,$C$2:C306,"conf_1")</f>
        <v>6</v>
      </c>
      <c r="C306" t="s">
        <v>7</v>
      </c>
      <c r="D306">
        <v>0.63200000000000001</v>
      </c>
    </row>
    <row r="307" spans="1:4" x14ac:dyDescent="0.3">
      <c r="A307">
        <v>2</v>
      </c>
      <c r="B307">
        <f>COUNTIFS($A$2:A307,A307,$C$2:C307,"conf_1")</f>
        <v>6</v>
      </c>
      <c r="C307" t="s">
        <v>8</v>
      </c>
      <c r="D307">
        <v>0.61199999999999999</v>
      </c>
    </row>
    <row r="308" spans="1:4" x14ac:dyDescent="0.3">
      <c r="A308">
        <v>2</v>
      </c>
      <c r="B308">
        <f>COUNTIFS($A$2:A308,A308,$C$2:C308,"conf_1")</f>
        <v>6</v>
      </c>
      <c r="C308" t="s">
        <v>9</v>
      </c>
      <c r="D308">
        <v>0.14599999999999999</v>
      </c>
    </row>
    <row r="309" spans="1:4" x14ac:dyDescent="0.3">
      <c r="A309">
        <v>2</v>
      </c>
      <c r="B309">
        <f>COUNTIFS($A$2:A309,A309,$C$2:C309,"conf_1")</f>
        <v>6</v>
      </c>
      <c r="C309" t="s">
        <v>10</v>
      </c>
      <c r="D309">
        <v>0.66400000000000003</v>
      </c>
    </row>
    <row r="310" spans="1:4" x14ac:dyDescent="0.3">
      <c r="A310">
        <v>2</v>
      </c>
      <c r="B310">
        <f>COUNTIFS($A$2:A310,A310,$C$2:C310,"conf_1")</f>
        <v>6</v>
      </c>
      <c r="C310" t="s">
        <v>11</v>
      </c>
      <c r="D310">
        <v>0.62</v>
      </c>
    </row>
    <row r="311" spans="1:4" x14ac:dyDescent="0.3">
      <c r="A311">
        <v>2</v>
      </c>
      <c r="B311">
        <f>COUNTIFS($A$2:A311,A311,$C$2:C311,"conf_1")</f>
        <v>6</v>
      </c>
      <c r="C311" t="s">
        <v>12</v>
      </c>
      <c r="D311">
        <v>0.66800000000000004</v>
      </c>
    </row>
    <row r="312" spans="1:4" x14ac:dyDescent="0.3">
      <c r="A312">
        <v>2</v>
      </c>
      <c r="B312">
        <f>COUNTIFS($A$2:A312,A312,$C$2:C312,"conf_1")</f>
        <v>6</v>
      </c>
      <c r="C312" t="s">
        <v>13</v>
      </c>
      <c r="D312">
        <v>0.65400000000000003</v>
      </c>
    </row>
    <row r="313" spans="1:4" x14ac:dyDescent="0.3">
      <c r="A313">
        <v>2</v>
      </c>
      <c r="B313">
        <f>COUNTIFS($A$2:A313,A313,$C$2:C313,"conf_1")</f>
        <v>6</v>
      </c>
      <c r="C313" t="s">
        <v>14</v>
      </c>
      <c r="D313">
        <v>2.5000000000000001E-2</v>
      </c>
    </row>
    <row r="314" spans="1:4" x14ac:dyDescent="0.3">
      <c r="A314">
        <v>2</v>
      </c>
      <c r="B314">
        <f>COUNTIFS($A$2:A314,A314,$C$2:C314,"conf_1")</f>
        <v>6</v>
      </c>
      <c r="C314" t="s">
        <v>15</v>
      </c>
      <c r="D314">
        <v>0.68200000000000005</v>
      </c>
    </row>
    <row r="315" spans="1:4" x14ac:dyDescent="0.3">
      <c r="A315">
        <v>2</v>
      </c>
      <c r="B315">
        <f>COUNTIFS($A$2:A315,A315,$C$2:C315,"conf_1")</f>
        <v>6</v>
      </c>
      <c r="C315" t="s">
        <v>16</v>
      </c>
      <c r="D315">
        <v>7.1999999999999995E-2</v>
      </c>
    </row>
    <row r="316" spans="1:4" x14ac:dyDescent="0.3">
      <c r="A316">
        <v>2</v>
      </c>
      <c r="B316">
        <f>COUNTIFS($A$2:A316,A316,$C$2:C316,"conf_1")</f>
        <v>6</v>
      </c>
      <c r="C316" t="s">
        <v>17</v>
      </c>
      <c r="D316">
        <v>0.17699999999999999</v>
      </c>
    </row>
    <row r="317" spans="1:4" x14ac:dyDescent="0.3">
      <c r="A317">
        <v>2</v>
      </c>
      <c r="B317">
        <f>COUNTIFS($A$2:A317,A317,$C$2:C317,"conf_1")</f>
        <v>6</v>
      </c>
      <c r="C317" t="s">
        <v>18</v>
      </c>
      <c r="D317">
        <v>0.159</v>
      </c>
    </row>
    <row r="318" spans="1:4" x14ac:dyDescent="0.3">
      <c r="A318">
        <v>2</v>
      </c>
      <c r="B318">
        <f>COUNTIFS($A$2:A318,A318,$C$2:C318,"conf_1")</f>
        <v>6</v>
      </c>
      <c r="C318" t="s">
        <v>19</v>
      </c>
      <c r="D318">
        <v>0.63700000000000001</v>
      </c>
    </row>
    <row r="319" spans="1:4" x14ac:dyDescent="0.3">
      <c r="A319">
        <v>2</v>
      </c>
      <c r="B319">
        <f>COUNTIFS($A$2:A319,A319,$C$2:C319,"conf_1")</f>
        <v>6</v>
      </c>
      <c r="C319" t="s">
        <v>20</v>
      </c>
      <c r="D319">
        <v>0.65800000000000003</v>
      </c>
    </row>
    <row r="320" spans="1:4" x14ac:dyDescent="0.3">
      <c r="A320">
        <v>2</v>
      </c>
      <c r="B320">
        <f>COUNTIFS($A$2:A320,A320,$C$2:C320,"conf_1")</f>
        <v>6</v>
      </c>
      <c r="C320" t="s">
        <v>21</v>
      </c>
      <c r="D320">
        <v>0.16900000000000001</v>
      </c>
    </row>
    <row r="321" spans="1:4" x14ac:dyDescent="0.3">
      <c r="A321">
        <v>2</v>
      </c>
      <c r="B321">
        <f>COUNTIFS($A$2:A321,A321,$C$2:C321,"conf_1")</f>
        <v>6</v>
      </c>
      <c r="C321" t="s">
        <v>22</v>
      </c>
      <c r="D321">
        <v>0.127</v>
      </c>
    </row>
    <row r="322" spans="1:4" x14ac:dyDescent="0.3">
      <c r="A322">
        <v>2</v>
      </c>
      <c r="B322">
        <f>COUNTIFS($A$2:A322,A322,$C$2:C322,"conf_1")</f>
        <v>7</v>
      </c>
      <c r="C322" t="s">
        <v>3</v>
      </c>
      <c r="D322">
        <v>0.67</v>
      </c>
    </row>
    <row r="323" spans="1:4" x14ac:dyDescent="0.3">
      <c r="A323">
        <v>2</v>
      </c>
      <c r="B323">
        <f>COUNTIFS($A$2:A323,A323,$C$2:C323,"conf_1")</f>
        <v>7</v>
      </c>
      <c r="C323" t="s">
        <v>4</v>
      </c>
      <c r="D323">
        <v>0.61499999999999999</v>
      </c>
    </row>
    <row r="324" spans="1:4" x14ac:dyDescent="0.3">
      <c r="A324">
        <v>2</v>
      </c>
      <c r="B324">
        <f>COUNTIFS($A$2:A324,A324,$C$2:C324,"conf_1")</f>
        <v>7</v>
      </c>
      <c r="C324" t="s">
        <v>5</v>
      </c>
      <c r="D324">
        <v>0.622</v>
      </c>
    </row>
    <row r="325" spans="1:4" x14ac:dyDescent="0.3">
      <c r="A325">
        <v>2</v>
      </c>
      <c r="B325">
        <f>COUNTIFS($A$2:A325,A325,$C$2:C325,"conf_1")</f>
        <v>7</v>
      </c>
      <c r="C325" t="s">
        <v>6</v>
      </c>
      <c r="D325">
        <v>0.61</v>
      </c>
    </row>
    <row r="326" spans="1:4" x14ac:dyDescent="0.3">
      <c r="A326">
        <v>2</v>
      </c>
      <c r="B326">
        <f>COUNTIFS($A$2:A326,A326,$C$2:C326,"conf_1")</f>
        <v>7</v>
      </c>
      <c r="C326" t="s">
        <v>7</v>
      </c>
      <c r="D326">
        <v>0.63200000000000001</v>
      </c>
    </row>
    <row r="327" spans="1:4" x14ac:dyDescent="0.3">
      <c r="A327">
        <v>2</v>
      </c>
      <c r="B327">
        <f>COUNTIFS($A$2:A327,A327,$C$2:C327,"conf_1")</f>
        <v>7</v>
      </c>
      <c r="C327" t="s">
        <v>8</v>
      </c>
      <c r="D327">
        <v>0.61199999999999999</v>
      </c>
    </row>
    <row r="328" spans="1:4" x14ac:dyDescent="0.3">
      <c r="A328">
        <v>2</v>
      </c>
      <c r="B328">
        <f>COUNTIFS($A$2:A328,A328,$C$2:C328,"conf_1")</f>
        <v>7</v>
      </c>
      <c r="C328" t="s">
        <v>9</v>
      </c>
      <c r="D328">
        <v>0.14799999999999999</v>
      </c>
    </row>
    <row r="329" spans="1:4" x14ac:dyDescent="0.3">
      <c r="A329">
        <v>2</v>
      </c>
      <c r="B329">
        <f>COUNTIFS($A$2:A329,A329,$C$2:C329,"conf_1")</f>
        <v>7</v>
      </c>
      <c r="C329" t="s">
        <v>10</v>
      </c>
      <c r="D329">
        <v>0.66500000000000004</v>
      </c>
    </row>
    <row r="330" spans="1:4" x14ac:dyDescent="0.3">
      <c r="A330">
        <v>2</v>
      </c>
      <c r="B330">
        <f>COUNTIFS($A$2:A330,A330,$C$2:C330,"conf_1")</f>
        <v>7</v>
      </c>
      <c r="C330" t="s">
        <v>11</v>
      </c>
      <c r="D330">
        <v>0.62</v>
      </c>
    </row>
    <row r="331" spans="1:4" x14ac:dyDescent="0.3">
      <c r="A331">
        <v>2</v>
      </c>
      <c r="B331">
        <f>COUNTIFS($A$2:A331,A331,$C$2:C331,"conf_1")</f>
        <v>7</v>
      </c>
      <c r="C331" t="s">
        <v>12</v>
      </c>
      <c r="D331">
        <v>0.66800000000000004</v>
      </c>
    </row>
    <row r="332" spans="1:4" x14ac:dyDescent="0.3">
      <c r="A332">
        <v>2</v>
      </c>
      <c r="B332">
        <f>COUNTIFS($A$2:A332,A332,$C$2:C332,"conf_1")</f>
        <v>7</v>
      </c>
      <c r="C332" t="s">
        <v>13</v>
      </c>
      <c r="D332">
        <v>0.65400000000000003</v>
      </c>
    </row>
    <row r="333" spans="1:4" x14ac:dyDescent="0.3">
      <c r="A333">
        <v>2</v>
      </c>
      <c r="B333">
        <f>COUNTIFS($A$2:A333,A333,$C$2:C333,"conf_1")</f>
        <v>7</v>
      </c>
      <c r="C333" t="s">
        <v>14</v>
      </c>
      <c r="D333">
        <v>2.4E-2</v>
      </c>
    </row>
    <row r="334" spans="1:4" x14ac:dyDescent="0.3">
      <c r="A334">
        <v>2</v>
      </c>
      <c r="B334">
        <f>COUNTIFS($A$2:A334,A334,$C$2:C334,"conf_1")</f>
        <v>7</v>
      </c>
      <c r="C334" t="s">
        <v>15</v>
      </c>
      <c r="D334">
        <v>0.68300000000000005</v>
      </c>
    </row>
    <row r="335" spans="1:4" x14ac:dyDescent="0.3">
      <c r="A335">
        <v>2</v>
      </c>
      <c r="B335">
        <f>COUNTIFS($A$2:A335,A335,$C$2:C335,"conf_1")</f>
        <v>7</v>
      </c>
      <c r="C335" t="s">
        <v>16</v>
      </c>
      <c r="D335">
        <v>7.2999999999999995E-2</v>
      </c>
    </row>
    <row r="336" spans="1:4" x14ac:dyDescent="0.3">
      <c r="A336">
        <v>2</v>
      </c>
      <c r="B336">
        <f>COUNTIFS($A$2:A336,A336,$C$2:C336,"conf_1")</f>
        <v>7</v>
      </c>
      <c r="C336" t="s">
        <v>17</v>
      </c>
      <c r="D336">
        <v>0.17899999999999999</v>
      </c>
    </row>
    <row r="337" spans="1:4" x14ac:dyDescent="0.3">
      <c r="A337">
        <v>2</v>
      </c>
      <c r="B337">
        <f>COUNTIFS($A$2:A337,A337,$C$2:C337,"conf_1")</f>
        <v>7</v>
      </c>
      <c r="C337" t="s">
        <v>18</v>
      </c>
      <c r="D337">
        <v>0.157</v>
      </c>
    </row>
    <row r="338" spans="1:4" x14ac:dyDescent="0.3">
      <c r="A338">
        <v>2</v>
      </c>
      <c r="B338">
        <f>COUNTIFS($A$2:A338,A338,$C$2:C338,"conf_1")</f>
        <v>7</v>
      </c>
      <c r="C338" t="s">
        <v>19</v>
      </c>
      <c r="D338">
        <v>0.63800000000000001</v>
      </c>
    </row>
    <row r="339" spans="1:4" x14ac:dyDescent="0.3">
      <c r="A339">
        <v>2</v>
      </c>
      <c r="B339">
        <f>COUNTIFS($A$2:A339,A339,$C$2:C339,"conf_1")</f>
        <v>7</v>
      </c>
      <c r="C339" t="s">
        <v>20</v>
      </c>
      <c r="D339">
        <v>0.65900000000000003</v>
      </c>
    </row>
    <row r="340" spans="1:4" x14ac:dyDescent="0.3">
      <c r="A340">
        <v>2</v>
      </c>
      <c r="B340">
        <f>COUNTIFS($A$2:A340,A340,$C$2:C340,"conf_1")</f>
        <v>7</v>
      </c>
      <c r="C340" t="s">
        <v>21</v>
      </c>
      <c r="D340">
        <v>0.16700000000000001</v>
      </c>
    </row>
    <row r="341" spans="1:4" x14ac:dyDescent="0.3">
      <c r="A341">
        <v>2</v>
      </c>
      <c r="B341">
        <f>COUNTIFS($A$2:A341,A341,$C$2:C341,"conf_1")</f>
        <v>7</v>
      </c>
      <c r="C341" t="s">
        <v>22</v>
      </c>
      <c r="D341">
        <v>0.127</v>
      </c>
    </row>
    <row r="342" spans="1:4" x14ac:dyDescent="0.3">
      <c r="A342">
        <v>2</v>
      </c>
      <c r="B342">
        <f>COUNTIFS($A$2:A342,A342,$C$2:C342,"conf_1")</f>
        <v>8</v>
      </c>
      <c r="C342" t="s">
        <v>3</v>
      </c>
      <c r="D342">
        <v>0.66600000000000004</v>
      </c>
    </row>
    <row r="343" spans="1:4" x14ac:dyDescent="0.3">
      <c r="A343">
        <v>2</v>
      </c>
      <c r="B343">
        <f>COUNTIFS($A$2:A343,A343,$C$2:C343,"conf_1")</f>
        <v>8</v>
      </c>
      <c r="C343" t="s">
        <v>4</v>
      </c>
      <c r="D343">
        <v>0.61299999999999999</v>
      </c>
    </row>
    <row r="344" spans="1:4" x14ac:dyDescent="0.3">
      <c r="A344">
        <v>2</v>
      </c>
      <c r="B344">
        <f>COUNTIFS($A$2:A344,A344,$C$2:C344,"conf_1")</f>
        <v>8</v>
      </c>
      <c r="C344" t="s">
        <v>5</v>
      </c>
      <c r="D344">
        <v>0.61899999999999999</v>
      </c>
    </row>
    <row r="345" spans="1:4" x14ac:dyDescent="0.3">
      <c r="A345">
        <v>2</v>
      </c>
      <c r="B345">
        <f>COUNTIFS($A$2:A345,A345,$C$2:C345,"conf_1")</f>
        <v>8</v>
      </c>
      <c r="C345" t="s">
        <v>6</v>
      </c>
      <c r="D345">
        <v>0.60799999999999998</v>
      </c>
    </row>
    <row r="346" spans="1:4" x14ac:dyDescent="0.3">
      <c r="A346">
        <v>2</v>
      </c>
      <c r="B346">
        <f>COUNTIFS($A$2:A346,A346,$C$2:C346,"conf_1")</f>
        <v>8</v>
      </c>
      <c r="C346" t="s">
        <v>7</v>
      </c>
      <c r="D346">
        <v>0.629</v>
      </c>
    </row>
    <row r="347" spans="1:4" x14ac:dyDescent="0.3">
      <c r="A347">
        <v>2</v>
      </c>
      <c r="B347">
        <f>COUNTIFS($A$2:A347,A347,$C$2:C347,"conf_1")</f>
        <v>8</v>
      </c>
      <c r="C347" t="s">
        <v>8</v>
      </c>
      <c r="D347">
        <v>0.61099999999999999</v>
      </c>
    </row>
    <row r="348" spans="1:4" x14ac:dyDescent="0.3">
      <c r="A348">
        <v>2</v>
      </c>
      <c r="B348">
        <f>COUNTIFS($A$2:A348,A348,$C$2:C348,"conf_1")</f>
        <v>8</v>
      </c>
      <c r="C348" t="s">
        <v>9</v>
      </c>
      <c r="D348">
        <v>0.14000000000000001</v>
      </c>
    </row>
    <row r="349" spans="1:4" x14ac:dyDescent="0.3">
      <c r="A349">
        <v>2</v>
      </c>
      <c r="B349">
        <f>COUNTIFS($A$2:A349,A349,$C$2:C349,"conf_1")</f>
        <v>8</v>
      </c>
      <c r="C349" t="s">
        <v>10</v>
      </c>
      <c r="D349">
        <v>0.66</v>
      </c>
    </row>
    <row r="350" spans="1:4" x14ac:dyDescent="0.3">
      <c r="A350">
        <v>2</v>
      </c>
      <c r="B350">
        <f>COUNTIFS($A$2:A350,A350,$C$2:C350,"conf_1")</f>
        <v>8</v>
      </c>
      <c r="C350" t="s">
        <v>11</v>
      </c>
      <c r="D350">
        <v>0.61699999999999999</v>
      </c>
    </row>
    <row r="351" spans="1:4" x14ac:dyDescent="0.3">
      <c r="A351">
        <v>2</v>
      </c>
      <c r="B351">
        <f>COUNTIFS($A$2:A351,A351,$C$2:C351,"conf_1")</f>
        <v>8</v>
      </c>
      <c r="C351" t="s">
        <v>12</v>
      </c>
      <c r="D351">
        <v>0.66400000000000003</v>
      </c>
    </row>
    <row r="352" spans="1:4" x14ac:dyDescent="0.3">
      <c r="A352">
        <v>2</v>
      </c>
      <c r="B352">
        <f>COUNTIFS($A$2:A352,A352,$C$2:C352,"conf_1")</f>
        <v>8</v>
      </c>
      <c r="C352" t="s">
        <v>13</v>
      </c>
      <c r="D352">
        <v>0.65</v>
      </c>
    </row>
    <row r="353" spans="1:4" x14ac:dyDescent="0.3">
      <c r="A353">
        <v>2</v>
      </c>
      <c r="B353">
        <f>COUNTIFS($A$2:A353,A353,$C$2:C353,"conf_1")</f>
        <v>8</v>
      </c>
      <c r="C353" t="s">
        <v>14</v>
      </c>
      <c r="D353">
        <v>2.7E-2</v>
      </c>
    </row>
    <row r="354" spans="1:4" x14ac:dyDescent="0.3">
      <c r="A354">
        <v>2</v>
      </c>
      <c r="B354">
        <f>COUNTIFS($A$2:A354,A354,$C$2:C354,"conf_1")</f>
        <v>8</v>
      </c>
      <c r="C354" t="s">
        <v>15</v>
      </c>
      <c r="D354">
        <v>0.67800000000000005</v>
      </c>
    </row>
    <row r="355" spans="1:4" x14ac:dyDescent="0.3">
      <c r="A355">
        <v>2</v>
      </c>
      <c r="B355">
        <f>COUNTIFS($A$2:A355,A355,$C$2:C355,"conf_1")</f>
        <v>8</v>
      </c>
      <c r="C355" t="s">
        <v>16</v>
      </c>
      <c r="D355">
        <v>7.0999999999999994E-2</v>
      </c>
    </row>
    <row r="356" spans="1:4" x14ac:dyDescent="0.3">
      <c r="A356">
        <v>2</v>
      </c>
      <c r="B356">
        <f>COUNTIFS($A$2:A356,A356,$C$2:C356,"conf_1")</f>
        <v>8</v>
      </c>
      <c r="C356" t="s">
        <v>17</v>
      </c>
      <c r="D356">
        <v>0.17199999999999999</v>
      </c>
    </row>
    <row r="357" spans="1:4" x14ac:dyDescent="0.3">
      <c r="A357">
        <v>2</v>
      </c>
      <c r="B357">
        <f>COUNTIFS($A$2:A357,A357,$C$2:C357,"conf_1")</f>
        <v>8</v>
      </c>
      <c r="C357" t="s">
        <v>18</v>
      </c>
      <c r="D357">
        <v>0.16600000000000001</v>
      </c>
    </row>
    <row r="358" spans="1:4" x14ac:dyDescent="0.3">
      <c r="A358">
        <v>2</v>
      </c>
      <c r="B358">
        <f>COUNTIFS($A$2:A358,A358,$C$2:C358,"conf_1")</f>
        <v>8</v>
      </c>
      <c r="C358" t="s">
        <v>19</v>
      </c>
      <c r="D358">
        <v>0.63400000000000001</v>
      </c>
    </row>
    <row r="359" spans="1:4" x14ac:dyDescent="0.3">
      <c r="A359">
        <v>2</v>
      </c>
      <c r="B359">
        <f>COUNTIFS($A$2:A359,A359,$C$2:C359,"conf_1")</f>
        <v>8</v>
      </c>
      <c r="C359" t="s">
        <v>20</v>
      </c>
      <c r="D359">
        <v>0.65500000000000003</v>
      </c>
    </row>
    <row r="360" spans="1:4" x14ac:dyDescent="0.3">
      <c r="A360">
        <v>2</v>
      </c>
      <c r="B360">
        <f>COUNTIFS($A$2:A360,A360,$C$2:C360,"conf_1")</f>
        <v>8</v>
      </c>
      <c r="C360" t="s">
        <v>21</v>
      </c>
      <c r="D360">
        <v>0.17599999999999999</v>
      </c>
    </row>
    <row r="361" spans="1:4" x14ac:dyDescent="0.3">
      <c r="A361">
        <v>2</v>
      </c>
      <c r="B361">
        <f>COUNTIFS($A$2:A361,A361,$C$2:C361,"conf_1")</f>
        <v>8</v>
      </c>
      <c r="C361" t="s">
        <v>22</v>
      </c>
      <c r="D361">
        <v>0.13200000000000001</v>
      </c>
    </row>
    <row r="362" spans="1:4" x14ac:dyDescent="0.3">
      <c r="A362">
        <v>2</v>
      </c>
      <c r="B362">
        <f>COUNTIFS($A$2:A362,A362,$C$2:C362,"conf_1")</f>
        <v>9</v>
      </c>
      <c r="C362" t="s">
        <v>3</v>
      </c>
      <c r="D362">
        <v>0.67400000000000004</v>
      </c>
    </row>
    <row r="363" spans="1:4" x14ac:dyDescent="0.3">
      <c r="A363">
        <v>2</v>
      </c>
      <c r="B363">
        <f>COUNTIFS($A$2:A363,A363,$C$2:C363,"conf_1")</f>
        <v>9</v>
      </c>
      <c r="C363" t="s">
        <v>4</v>
      </c>
      <c r="D363">
        <v>0.61699999999999999</v>
      </c>
    </row>
    <row r="364" spans="1:4" x14ac:dyDescent="0.3">
      <c r="A364">
        <v>2</v>
      </c>
      <c r="B364">
        <f>COUNTIFS($A$2:A364,A364,$C$2:C364,"conf_1")</f>
        <v>9</v>
      </c>
      <c r="C364" t="s">
        <v>5</v>
      </c>
      <c r="D364">
        <v>0.625</v>
      </c>
    </row>
    <row r="365" spans="1:4" x14ac:dyDescent="0.3">
      <c r="A365">
        <v>2</v>
      </c>
      <c r="B365">
        <f>COUNTIFS($A$2:A365,A365,$C$2:C365,"conf_1")</f>
        <v>9</v>
      </c>
      <c r="C365" t="s">
        <v>6</v>
      </c>
      <c r="D365">
        <v>0.61199999999999999</v>
      </c>
    </row>
    <row r="366" spans="1:4" x14ac:dyDescent="0.3">
      <c r="A366">
        <v>2</v>
      </c>
      <c r="B366">
        <f>COUNTIFS($A$2:A366,A366,$C$2:C366,"conf_1")</f>
        <v>9</v>
      </c>
      <c r="C366" t="s">
        <v>7</v>
      </c>
      <c r="D366">
        <v>0.63500000000000001</v>
      </c>
    </row>
    <row r="367" spans="1:4" x14ac:dyDescent="0.3">
      <c r="A367">
        <v>2</v>
      </c>
      <c r="B367">
        <f>COUNTIFS($A$2:A367,A367,$C$2:C367,"conf_1")</f>
        <v>9</v>
      </c>
      <c r="C367" t="s">
        <v>8</v>
      </c>
      <c r="D367">
        <v>0.61399999999999999</v>
      </c>
    </row>
    <row r="368" spans="1:4" x14ac:dyDescent="0.3">
      <c r="A368">
        <v>2</v>
      </c>
      <c r="B368">
        <f>COUNTIFS($A$2:A368,A368,$C$2:C368,"conf_1")</f>
        <v>9</v>
      </c>
      <c r="C368" t="s">
        <v>9</v>
      </c>
      <c r="D368">
        <v>0.155</v>
      </c>
    </row>
    <row r="369" spans="1:4" x14ac:dyDescent="0.3">
      <c r="A369">
        <v>2</v>
      </c>
      <c r="B369">
        <f>COUNTIFS($A$2:A369,A369,$C$2:C369,"conf_1")</f>
        <v>9</v>
      </c>
      <c r="C369" t="s">
        <v>10</v>
      </c>
      <c r="D369">
        <v>0.66900000000000004</v>
      </c>
    </row>
    <row r="370" spans="1:4" x14ac:dyDescent="0.3">
      <c r="A370">
        <v>2</v>
      </c>
      <c r="B370">
        <f>COUNTIFS($A$2:A370,A370,$C$2:C370,"conf_1")</f>
        <v>9</v>
      </c>
      <c r="C370" t="s">
        <v>11</v>
      </c>
      <c r="D370">
        <v>0.622</v>
      </c>
    </row>
    <row r="371" spans="1:4" x14ac:dyDescent="0.3">
      <c r="A371">
        <v>2</v>
      </c>
      <c r="B371">
        <f>COUNTIFS($A$2:A371,A371,$C$2:C371,"conf_1")</f>
        <v>9</v>
      </c>
      <c r="C371" t="s">
        <v>12</v>
      </c>
      <c r="D371">
        <v>0.67300000000000004</v>
      </c>
    </row>
    <row r="372" spans="1:4" x14ac:dyDescent="0.3">
      <c r="A372">
        <v>2</v>
      </c>
      <c r="B372">
        <f>COUNTIFS($A$2:A372,A372,$C$2:C372,"conf_1")</f>
        <v>9</v>
      </c>
      <c r="C372" t="s">
        <v>13</v>
      </c>
      <c r="D372">
        <v>0.65800000000000003</v>
      </c>
    </row>
    <row r="373" spans="1:4" x14ac:dyDescent="0.3">
      <c r="A373">
        <v>2</v>
      </c>
      <c r="B373">
        <f>COUNTIFS($A$2:A373,A373,$C$2:C373,"conf_1")</f>
        <v>9</v>
      </c>
      <c r="C373" t="s">
        <v>14</v>
      </c>
      <c r="D373">
        <v>3.9E-2</v>
      </c>
    </row>
    <row r="374" spans="1:4" x14ac:dyDescent="0.3">
      <c r="A374">
        <v>2</v>
      </c>
      <c r="B374">
        <f>COUNTIFS($A$2:A374,A374,$C$2:C374,"conf_1")</f>
        <v>9</v>
      </c>
      <c r="C374" t="s">
        <v>15</v>
      </c>
      <c r="D374">
        <v>0.68700000000000006</v>
      </c>
    </row>
    <row r="375" spans="1:4" x14ac:dyDescent="0.3">
      <c r="A375">
        <v>2</v>
      </c>
      <c r="B375">
        <f>COUNTIFS($A$2:A375,A375,$C$2:C375,"conf_1")</f>
        <v>9</v>
      </c>
      <c r="C375" t="s">
        <v>16</v>
      </c>
      <c r="D375">
        <v>7.5999999999999998E-2</v>
      </c>
    </row>
    <row r="376" spans="1:4" x14ac:dyDescent="0.3">
      <c r="A376">
        <v>2</v>
      </c>
      <c r="B376">
        <f>COUNTIFS($A$2:A376,A376,$C$2:C376,"conf_1")</f>
        <v>9</v>
      </c>
      <c r="C376" t="s">
        <v>17</v>
      </c>
      <c r="D376">
        <v>0.185</v>
      </c>
    </row>
    <row r="377" spans="1:4" x14ac:dyDescent="0.3">
      <c r="A377">
        <v>2</v>
      </c>
      <c r="B377">
        <f>COUNTIFS($A$2:A377,A377,$C$2:C377,"conf_1")</f>
        <v>9</v>
      </c>
      <c r="C377" t="s">
        <v>18</v>
      </c>
      <c r="D377">
        <v>0.14899999999999999</v>
      </c>
    </row>
    <row r="378" spans="1:4" x14ac:dyDescent="0.3">
      <c r="A378">
        <v>2</v>
      </c>
      <c r="B378">
        <f>COUNTIFS($A$2:A378,A378,$C$2:C378,"conf_1")</f>
        <v>9</v>
      </c>
      <c r="C378" t="s">
        <v>19</v>
      </c>
      <c r="D378">
        <v>0.64200000000000002</v>
      </c>
    </row>
    <row r="379" spans="1:4" x14ac:dyDescent="0.3">
      <c r="A379">
        <v>2</v>
      </c>
      <c r="B379">
        <f>COUNTIFS($A$2:A379,A379,$C$2:C379,"conf_1")</f>
        <v>9</v>
      </c>
      <c r="C379" t="s">
        <v>20</v>
      </c>
      <c r="D379">
        <v>0.66300000000000003</v>
      </c>
    </row>
    <row r="380" spans="1:4" x14ac:dyDescent="0.3">
      <c r="A380">
        <v>2</v>
      </c>
      <c r="B380">
        <f>COUNTIFS($A$2:A380,A380,$C$2:C380,"conf_1")</f>
        <v>9</v>
      </c>
      <c r="C380" t="s">
        <v>21</v>
      </c>
      <c r="D380">
        <v>0.159</v>
      </c>
    </row>
    <row r="381" spans="1:4" x14ac:dyDescent="0.3">
      <c r="A381">
        <v>2</v>
      </c>
      <c r="B381">
        <f>COUNTIFS($A$2:A381,A381,$C$2:C381,"conf_1")</f>
        <v>9</v>
      </c>
      <c r="C381" t="s">
        <v>22</v>
      </c>
      <c r="D381">
        <v>0.12</v>
      </c>
    </row>
    <row r="382" spans="1:4" x14ac:dyDescent="0.3">
      <c r="A382">
        <v>2</v>
      </c>
      <c r="B382">
        <f>COUNTIFS($A$2:A382,A382,$C$2:C382,"conf_1")</f>
        <v>10</v>
      </c>
      <c r="C382" t="s">
        <v>3</v>
      </c>
      <c r="D382">
        <v>0.67300000000000004</v>
      </c>
    </row>
    <row r="383" spans="1:4" x14ac:dyDescent="0.3">
      <c r="A383">
        <v>2</v>
      </c>
      <c r="B383">
        <f>COUNTIFS($A$2:A383,A383,$C$2:C383,"conf_1")</f>
        <v>10</v>
      </c>
      <c r="C383" t="s">
        <v>4</v>
      </c>
      <c r="D383">
        <v>0.61699999999999999</v>
      </c>
    </row>
    <row r="384" spans="1:4" x14ac:dyDescent="0.3">
      <c r="A384">
        <v>2</v>
      </c>
      <c r="B384">
        <f>COUNTIFS($A$2:A384,A384,$C$2:C384,"conf_1")</f>
        <v>10</v>
      </c>
      <c r="C384" t="s">
        <v>5</v>
      </c>
      <c r="D384">
        <v>0.624</v>
      </c>
    </row>
    <row r="385" spans="1:4" x14ac:dyDescent="0.3">
      <c r="A385">
        <v>2</v>
      </c>
      <c r="B385">
        <f>COUNTIFS($A$2:A385,A385,$C$2:C385,"conf_1")</f>
        <v>10</v>
      </c>
      <c r="C385" t="s">
        <v>6</v>
      </c>
      <c r="D385">
        <v>0.61199999999999999</v>
      </c>
    </row>
    <row r="386" spans="1:4" x14ac:dyDescent="0.3">
      <c r="A386">
        <v>2</v>
      </c>
      <c r="B386">
        <f>COUNTIFS($A$2:A386,A386,$C$2:C386,"conf_1")</f>
        <v>10</v>
      </c>
      <c r="C386" t="s">
        <v>7</v>
      </c>
      <c r="D386">
        <v>0.63400000000000001</v>
      </c>
    </row>
    <row r="387" spans="1:4" x14ac:dyDescent="0.3">
      <c r="A387">
        <v>2</v>
      </c>
      <c r="B387">
        <f>COUNTIFS($A$2:A387,A387,$C$2:C387,"conf_1")</f>
        <v>10</v>
      </c>
      <c r="C387" t="s">
        <v>8</v>
      </c>
      <c r="D387">
        <v>0.61399999999999999</v>
      </c>
    </row>
    <row r="388" spans="1:4" x14ac:dyDescent="0.3">
      <c r="A388">
        <v>2</v>
      </c>
      <c r="B388">
        <f>COUNTIFS($A$2:A388,A388,$C$2:C388,"conf_1")</f>
        <v>10</v>
      </c>
      <c r="C388" t="s">
        <v>9</v>
      </c>
      <c r="D388">
        <v>0.151</v>
      </c>
    </row>
    <row r="389" spans="1:4" x14ac:dyDescent="0.3">
      <c r="A389">
        <v>2</v>
      </c>
      <c r="B389">
        <f>COUNTIFS($A$2:A389,A389,$C$2:C389,"conf_1")</f>
        <v>10</v>
      </c>
      <c r="C389" t="s">
        <v>10</v>
      </c>
      <c r="D389">
        <v>0.66700000000000004</v>
      </c>
    </row>
    <row r="390" spans="1:4" x14ac:dyDescent="0.3">
      <c r="A390">
        <v>2</v>
      </c>
      <c r="B390">
        <f>COUNTIFS($A$2:A390,A390,$C$2:C390,"conf_1")</f>
        <v>10</v>
      </c>
      <c r="C390" t="s">
        <v>11</v>
      </c>
      <c r="D390">
        <v>0.622</v>
      </c>
    </row>
    <row r="391" spans="1:4" x14ac:dyDescent="0.3">
      <c r="A391">
        <v>2</v>
      </c>
      <c r="B391">
        <f>COUNTIFS($A$2:A391,A391,$C$2:C391,"conf_1")</f>
        <v>10</v>
      </c>
      <c r="C391" t="s">
        <v>12</v>
      </c>
      <c r="D391">
        <v>0.67100000000000004</v>
      </c>
    </row>
    <row r="392" spans="1:4" x14ac:dyDescent="0.3">
      <c r="A392">
        <v>2</v>
      </c>
      <c r="B392">
        <f>COUNTIFS($A$2:A392,A392,$C$2:C392,"conf_1")</f>
        <v>10</v>
      </c>
      <c r="C392" t="s">
        <v>13</v>
      </c>
      <c r="D392">
        <v>0.65700000000000003</v>
      </c>
    </row>
    <row r="393" spans="1:4" x14ac:dyDescent="0.3">
      <c r="A393">
        <v>2</v>
      </c>
      <c r="B393">
        <f>COUNTIFS($A$2:A393,A393,$C$2:C393,"conf_1")</f>
        <v>10</v>
      </c>
      <c r="C393" t="s">
        <v>14</v>
      </c>
      <c r="D393">
        <v>2.1999999999999999E-2</v>
      </c>
    </row>
    <row r="394" spans="1:4" x14ac:dyDescent="0.3">
      <c r="A394">
        <v>2</v>
      </c>
      <c r="B394">
        <f>COUNTIFS($A$2:A394,A394,$C$2:C394,"conf_1")</f>
        <v>10</v>
      </c>
      <c r="C394" t="s">
        <v>15</v>
      </c>
      <c r="D394">
        <v>0.68600000000000005</v>
      </c>
    </row>
    <row r="395" spans="1:4" x14ac:dyDescent="0.3">
      <c r="A395">
        <v>2</v>
      </c>
      <c r="B395">
        <f>COUNTIFS($A$2:A395,A395,$C$2:C395,"conf_1")</f>
        <v>10</v>
      </c>
      <c r="C395" t="s">
        <v>16</v>
      </c>
      <c r="D395">
        <v>7.3999999999999996E-2</v>
      </c>
    </row>
    <row r="396" spans="1:4" x14ac:dyDescent="0.3">
      <c r="A396">
        <v>2</v>
      </c>
      <c r="B396">
        <f>COUNTIFS($A$2:A396,A396,$C$2:C396,"conf_1")</f>
        <v>10</v>
      </c>
      <c r="C396" t="s">
        <v>17</v>
      </c>
      <c r="D396">
        <v>0.182</v>
      </c>
    </row>
    <row r="397" spans="1:4" x14ac:dyDescent="0.3">
      <c r="A397">
        <v>2</v>
      </c>
      <c r="B397">
        <f>COUNTIFS($A$2:A397,A397,$C$2:C397,"conf_1")</f>
        <v>10</v>
      </c>
      <c r="C397" t="s">
        <v>18</v>
      </c>
      <c r="D397">
        <v>0.152</v>
      </c>
    </row>
    <row r="398" spans="1:4" x14ac:dyDescent="0.3">
      <c r="A398">
        <v>2</v>
      </c>
      <c r="B398">
        <f>COUNTIFS($A$2:A398,A398,$C$2:C398,"conf_1")</f>
        <v>10</v>
      </c>
      <c r="C398" t="s">
        <v>19</v>
      </c>
      <c r="D398">
        <v>0.64</v>
      </c>
    </row>
    <row r="399" spans="1:4" x14ac:dyDescent="0.3">
      <c r="A399">
        <v>2</v>
      </c>
      <c r="B399">
        <f>COUNTIFS($A$2:A399,A399,$C$2:C399,"conf_1")</f>
        <v>10</v>
      </c>
      <c r="C399" t="s">
        <v>20</v>
      </c>
      <c r="D399">
        <v>0.66200000000000003</v>
      </c>
    </row>
    <row r="400" spans="1:4" x14ac:dyDescent="0.3">
      <c r="A400">
        <v>2</v>
      </c>
      <c r="B400">
        <f>COUNTIFS($A$2:A400,A400,$C$2:C400,"conf_1")</f>
        <v>10</v>
      </c>
      <c r="C400" t="s">
        <v>21</v>
      </c>
      <c r="D400">
        <v>0.16200000000000001</v>
      </c>
    </row>
    <row r="401" spans="1:4" x14ac:dyDescent="0.3">
      <c r="A401">
        <v>2</v>
      </c>
      <c r="B401">
        <f>COUNTIFS($A$2:A401,A401,$C$2:C401,"conf_1")</f>
        <v>10</v>
      </c>
      <c r="C401" t="s">
        <v>22</v>
      </c>
      <c r="D401">
        <v>0.124</v>
      </c>
    </row>
    <row r="402" spans="1:4" x14ac:dyDescent="0.3">
      <c r="A402">
        <v>3</v>
      </c>
      <c r="B402">
        <f>COUNTIFS($A$2:A402,A402,$C$2:C402,"conf_1")</f>
        <v>1</v>
      </c>
      <c r="C402" t="s">
        <v>3</v>
      </c>
      <c r="D402">
        <v>0.73799999999999999</v>
      </c>
    </row>
    <row r="403" spans="1:4" x14ac:dyDescent="0.3">
      <c r="A403">
        <v>3</v>
      </c>
      <c r="B403">
        <f>COUNTIFS($A$2:A403,A403,$C$2:C403,"conf_1")</f>
        <v>1</v>
      </c>
      <c r="C403" t="s">
        <v>4</v>
      </c>
      <c r="D403">
        <v>0.65700000000000003</v>
      </c>
    </row>
    <row r="404" spans="1:4" x14ac:dyDescent="0.3">
      <c r="A404">
        <v>3</v>
      </c>
      <c r="B404">
        <f>COUNTIFS($A$2:A404,A404,$C$2:C404,"conf_1")</f>
        <v>1</v>
      </c>
      <c r="C404" t="s">
        <v>5</v>
      </c>
      <c r="D404">
        <v>0.67100000000000004</v>
      </c>
    </row>
    <row r="405" spans="1:4" x14ac:dyDescent="0.3">
      <c r="A405">
        <v>3</v>
      </c>
      <c r="B405">
        <f>COUNTIFS($A$2:A405,A405,$C$2:C405,"conf_1")</f>
        <v>1</v>
      </c>
      <c r="C405" t="s">
        <v>6</v>
      </c>
      <c r="D405">
        <v>0.65200000000000002</v>
      </c>
    </row>
    <row r="406" spans="1:4" x14ac:dyDescent="0.3">
      <c r="A406">
        <v>3</v>
      </c>
      <c r="B406">
        <f>COUNTIFS($A$2:A406,A406,$C$2:C406,"conf_1")</f>
        <v>1</v>
      </c>
      <c r="C406" t="s">
        <v>7</v>
      </c>
      <c r="D406">
        <v>0.68600000000000005</v>
      </c>
    </row>
    <row r="407" spans="1:4" x14ac:dyDescent="0.3">
      <c r="A407">
        <v>3</v>
      </c>
      <c r="B407">
        <f>COUNTIFS($A$2:A407,A407,$C$2:C407,"conf_1")</f>
        <v>1</v>
      </c>
      <c r="C407" t="s">
        <v>8</v>
      </c>
      <c r="D407">
        <v>0.64800000000000002</v>
      </c>
    </row>
    <row r="408" spans="1:4" x14ac:dyDescent="0.3">
      <c r="A408">
        <v>3</v>
      </c>
      <c r="B408">
        <f>COUNTIFS($A$2:A408,A408,$C$2:C408,"conf_1")</f>
        <v>1</v>
      </c>
      <c r="C408" t="s">
        <v>9</v>
      </c>
      <c r="D408">
        <v>0.23499999999999999</v>
      </c>
    </row>
    <row r="409" spans="1:4" x14ac:dyDescent="0.3">
      <c r="A409">
        <v>3</v>
      </c>
      <c r="B409">
        <f>COUNTIFS($A$2:A409,A409,$C$2:C409,"conf_1")</f>
        <v>1</v>
      </c>
      <c r="C409" t="s">
        <v>10</v>
      </c>
      <c r="D409">
        <v>0.73799999999999999</v>
      </c>
    </row>
    <row r="410" spans="1:4" x14ac:dyDescent="0.3">
      <c r="A410">
        <v>3</v>
      </c>
      <c r="B410">
        <f>COUNTIFS($A$2:A410,A410,$C$2:C410,"conf_1")</f>
        <v>1</v>
      </c>
      <c r="C410" t="s">
        <v>11</v>
      </c>
      <c r="D410">
        <v>0.66600000000000004</v>
      </c>
    </row>
    <row r="411" spans="1:4" x14ac:dyDescent="0.3">
      <c r="A411">
        <v>3</v>
      </c>
      <c r="B411">
        <f>COUNTIFS($A$2:A411,A411,$C$2:C411,"conf_1")</f>
        <v>1</v>
      </c>
      <c r="C411" t="s">
        <v>12</v>
      </c>
      <c r="D411">
        <v>0.73799999999999999</v>
      </c>
    </row>
    <row r="412" spans="1:4" x14ac:dyDescent="0.3">
      <c r="A412">
        <v>3</v>
      </c>
      <c r="B412">
        <f>COUNTIFS($A$2:A412,A412,$C$2:C412,"conf_1")</f>
        <v>1</v>
      </c>
      <c r="C412" t="s">
        <v>13</v>
      </c>
      <c r="D412">
        <v>0.71699999999999997</v>
      </c>
    </row>
    <row r="413" spans="1:4" x14ac:dyDescent="0.3">
      <c r="A413">
        <v>3</v>
      </c>
      <c r="B413">
        <f>COUNTIFS($A$2:A413,A413,$C$2:C413,"conf_1")</f>
        <v>1</v>
      </c>
      <c r="C413" t="s">
        <v>14</v>
      </c>
      <c r="D413">
        <v>0.11899999999999999</v>
      </c>
    </row>
    <row r="414" spans="1:4" x14ac:dyDescent="0.3">
      <c r="A414">
        <v>3</v>
      </c>
      <c r="B414">
        <f>COUNTIFS($A$2:A414,A414,$C$2:C414,"conf_1")</f>
        <v>1</v>
      </c>
      <c r="C414" t="s">
        <v>15</v>
      </c>
      <c r="D414">
        <v>0.752</v>
      </c>
    </row>
    <row r="415" spans="1:4" x14ac:dyDescent="0.3">
      <c r="A415">
        <v>3</v>
      </c>
      <c r="B415">
        <f>COUNTIFS($A$2:A415,A415,$C$2:C415,"conf_1")</f>
        <v>1</v>
      </c>
      <c r="C415" t="s">
        <v>16</v>
      </c>
      <c r="D415">
        <v>0.14899999999999999</v>
      </c>
    </row>
    <row r="416" spans="1:4" x14ac:dyDescent="0.3">
      <c r="A416">
        <v>3</v>
      </c>
      <c r="B416">
        <f>COUNTIFS($A$2:A416,A416,$C$2:C416,"conf_1")</f>
        <v>1</v>
      </c>
      <c r="C416" t="s">
        <v>17</v>
      </c>
      <c r="D416">
        <v>0.26</v>
      </c>
    </row>
    <row r="417" spans="1:4" x14ac:dyDescent="0.3">
      <c r="A417">
        <v>3</v>
      </c>
      <c r="B417">
        <f>COUNTIFS($A$2:A417,A417,$C$2:C417,"conf_1")</f>
        <v>1</v>
      </c>
      <c r="C417" t="s">
        <v>18</v>
      </c>
      <c r="D417">
        <v>0.12</v>
      </c>
    </row>
    <row r="418" spans="1:4" x14ac:dyDescent="0.3">
      <c r="A418">
        <v>3</v>
      </c>
      <c r="B418">
        <f>COUNTIFS($A$2:A418,A418,$C$2:C418,"conf_1")</f>
        <v>1</v>
      </c>
      <c r="C418" t="s">
        <v>19</v>
      </c>
      <c r="D418">
        <v>0.70399999999999996</v>
      </c>
    </row>
    <row r="419" spans="1:4" x14ac:dyDescent="0.3">
      <c r="A419">
        <v>3</v>
      </c>
      <c r="B419">
        <f>COUNTIFS($A$2:A419,A419,$C$2:C419,"conf_1")</f>
        <v>1</v>
      </c>
      <c r="C419" t="s">
        <v>20</v>
      </c>
      <c r="D419">
        <v>0.72899999999999998</v>
      </c>
    </row>
    <row r="420" spans="1:4" x14ac:dyDescent="0.3">
      <c r="A420">
        <v>3</v>
      </c>
      <c r="B420">
        <f>COUNTIFS($A$2:A420,A420,$C$2:C420,"conf_1")</f>
        <v>1</v>
      </c>
      <c r="C420" t="s">
        <v>21</v>
      </c>
      <c r="D420">
        <v>0.122</v>
      </c>
    </row>
    <row r="421" spans="1:4" x14ac:dyDescent="0.3">
      <c r="A421">
        <v>3</v>
      </c>
      <c r="B421">
        <f>COUNTIFS($A$2:A421,A421,$C$2:C421,"conf_1")</f>
        <v>1</v>
      </c>
      <c r="C421" t="s">
        <v>22</v>
      </c>
      <c r="D421">
        <v>7.4999999999999997E-2</v>
      </c>
    </row>
    <row r="422" spans="1:4" x14ac:dyDescent="0.3">
      <c r="A422">
        <v>4</v>
      </c>
      <c r="B422">
        <f>COUNTIFS($A$2:A422,A422,$C$2:C422,"conf_1")</f>
        <v>1</v>
      </c>
      <c r="C422" t="s">
        <v>3</v>
      </c>
      <c r="D422">
        <v>0.67500000000000004</v>
      </c>
    </row>
    <row r="423" spans="1:4" x14ac:dyDescent="0.3">
      <c r="A423">
        <v>4</v>
      </c>
      <c r="B423">
        <f>COUNTIFS($A$2:A423,A423,$C$2:C423,"conf_1")</f>
        <v>1</v>
      </c>
      <c r="C423" t="s">
        <v>4</v>
      </c>
      <c r="D423">
        <v>0.624</v>
      </c>
    </row>
    <row r="424" spans="1:4" x14ac:dyDescent="0.3">
      <c r="A424">
        <v>4</v>
      </c>
      <c r="B424">
        <f>COUNTIFS($A$2:A424,A424,$C$2:C424,"conf_1")</f>
        <v>1</v>
      </c>
      <c r="C424" t="s">
        <v>5</v>
      </c>
      <c r="D424">
        <v>0.63100000000000001</v>
      </c>
    </row>
    <row r="425" spans="1:4" x14ac:dyDescent="0.3">
      <c r="A425">
        <v>4</v>
      </c>
      <c r="B425">
        <f>COUNTIFS($A$2:A425,A425,$C$2:C425,"conf_1")</f>
        <v>1</v>
      </c>
      <c r="C425" t="s">
        <v>6</v>
      </c>
      <c r="D425">
        <v>0.61899999999999999</v>
      </c>
    </row>
    <row r="426" spans="1:4" x14ac:dyDescent="0.3">
      <c r="A426">
        <v>4</v>
      </c>
      <c r="B426">
        <f>COUNTIFS($A$2:A426,A426,$C$2:C426,"conf_1")</f>
        <v>1</v>
      </c>
      <c r="C426" t="s">
        <v>7</v>
      </c>
      <c r="D426">
        <v>0.63700000000000001</v>
      </c>
    </row>
    <row r="427" spans="1:4" x14ac:dyDescent="0.3">
      <c r="A427">
        <v>4</v>
      </c>
      <c r="B427">
        <f>COUNTIFS($A$2:A427,A427,$C$2:C427,"conf_1")</f>
        <v>1</v>
      </c>
      <c r="C427" t="s">
        <v>8</v>
      </c>
      <c r="D427">
        <v>0.626</v>
      </c>
    </row>
    <row r="428" spans="1:4" x14ac:dyDescent="0.3">
      <c r="A428">
        <v>4</v>
      </c>
      <c r="B428">
        <f>COUNTIFS($A$2:A428,A428,$C$2:C428,"conf_1")</f>
        <v>1</v>
      </c>
      <c r="C428" t="s">
        <v>9</v>
      </c>
      <c r="D428">
        <v>0.12</v>
      </c>
    </row>
    <row r="429" spans="1:4" x14ac:dyDescent="0.3">
      <c r="A429">
        <v>4</v>
      </c>
      <c r="B429">
        <f>COUNTIFS($A$2:A429,A429,$C$2:C429,"conf_1")</f>
        <v>1</v>
      </c>
      <c r="C429" t="s">
        <v>10</v>
      </c>
      <c r="D429">
        <v>0.67100000000000004</v>
      </c>
    </row>
    <row r="430" spans="1:4" x14ac:dyDescent="0.3">
      <c r="A430">
        <v>4</v>
      </c>
      <c r="B430">
        <f>COUNTIFS($A$2:A430,A430,$C$2:C430,"conf_1")</f>
        <v>1</v>
      </c>
      <c r="C430" t="s">
        <v>11</v>
      </c>
      <c r="D430">
        <v>0.63</v>
      </c>
    </row>
    <row r="431" spans="1:4" x14ac:dyDescent="0.3">
      <c r="A431">
        <v>4</v>
      </c>
      <c r="B431">
        <f>COUNTIFS($A$2:A431,A431,$C$2:C431,"conf_1")</f>
        <v>1</v>
      </c>
      <c r="C431" t="s">
        <v>12</v>
      </c>
      <c r="D431">
        <v>0.67200000000000004</v>
      </c>
    </row>
    <row r="432" spans="1:4" x14ac:dyDescent="0.3">
      <c r="A432">
        <v>4</v>
      </c>
      <c r="B432">
        <f>COUNTIFS($A$2:A432,A432,$C$2:C432,"conf_1")</f>
        <v>1</v>
      </c>
      <c r="C432" t="s">
        <v>13</v>
      </c>
      <c r="D432">
        <v>0.65900000000000003</v>
      </c>
    </row>
    <row r="433" spans="1:4" x14ac:dyDescent="0.3">
      <c r="A433">
        <v>4</v>
      </c>
      <c r="B433">
        <f>COUNTIFS($A$2:A433,A433,$C$2:C433,"conf_1")</f>
        <v>1</v>
      </c>
      <c r="C433" t="s">
        <v>14</v>
      </c>
      <c r="D433">
        <v>0.123</v>
      </c>
    </row>
    <row r="434" spans="1:4" x14ac:dyDescent="0.3">
      <c r="A434">
        <v>4</v>
      </c>
      <c r="B434">
        <f>COUNTIFS($A$2:A434,A434,$C$2:C434,"conf_1")</f>
        <v>1</v>
      </c>
      <c r="C434" t="s">
        <v>15</v>
      </c>
      <c r="D434">
        <v>0.68500000000000005</v>
      </c>
    </row>
    <row r="435" spans="1:4" x14ac:dyDescent="0.3">
      <c r="A435">
        <v>4</v>
      </c>
      <c r="B435">
        <f>COUNTIFS($A$2:A435,A435,$C$2:C435,"conf_1")</f>
        <v>1</v>
      </c>
      <c r="C435" t="s">
        <v>16</v>
      </c>
      <c r="D435">
        <v>9.4E-2</v>
      </c>
    </row>
    <row r="436" spans="1:4" x14ac:dyDescent="0.3">
      <c r="A436">
        <v>4</v>
      </c>
      <c r="B436">
        <f>COUNTIFS($A$2:A436,A436,$C$2:C436,"conf_1")</f>
        <v>1</v>
      </c>
      <c r="C436" t="s">
        <v>17</v>
      </c>
      <c r="D436">
        <v>0.11</v>
      </c>
    </row>
    <row r="437" spans="1:4" x14ac:dyDescent="0.3">
      <c r="A437">
        <v>4</v>
      </c>
      <c r="B437">
        <f>COUNTIFS($A$2:A437,A437,$C$2:C437,"conf_1")</f>
        <v>1</v>
      </c>
      <c r="C437" t="s">
        <v>18</v>
      </c>
      <c r="D437">
        <v>0.20200000000000001</v>
      </c>
    </row>
    <row r="438" spans="1:4" x14ac:dyDescent="0.3">
      <c r="A438">
        <v>4</v>
      </c>
      <c r="B438">
        <f>COUNTIFS($A$2:A438,A438,$C$2:C438,"conf_1")</f>
        <v>1</v>
      </c>
      <c r="C438" t="s">
        <v>19</v>
      </c>
      <c r="D438">
        <v>0.64800000000000002</v>
      </c>
    </row>
    <row r="439" spans="1:4" x14ac:dyDescent="0.3">
      <c r="A439">
        <v>4</v>
      </c>
      <c r="B439">
        <f>COUNTIFS($A$2:A439,A439,$C$2:C439,"conf_1")</f>
        <v>1</v>
      </c>
      <c r="C439" t="s">
        <v>20</v>
      </c>
      <c r="D439">
        <v>0.66500000000000004</v>
      </c>
    </row>
    <row r="440" spans="1:4" x14ac:dyDescent="0.3">
      <c r="A440">
        <v>4</v>
      </c>
      <c r="B440">
        <f>COUNTIFS($A$2:A440,A440,$C$2:C440,"conf_1")</f>
        <v>1</v>
      </c>
      <c r="C440" t="s">
        <v>21</v>
      </c>
      <c r="D440">
        <v>0.20399999999999999</v>
      </c>
    </row>
    <row r="441" spans="1:4" x14ac:dyDescent="0.3">
      <c r="A441">
        <v>4</v>
      </c>
      <c r="B441">
        <f>COUNTIFS($A$2:A441,A441,$C$2:C441,"conf_1")</f>
        <v>1</v>
      </c>
      <c r="C441" t="s">
        <v>22</v>
      </c>
      <c r="D441">
        <v>0.17699999999999999</v>
      </c>
    </row>
    <row r="442" spans="1:4" x14ac:dyDescent="0.3">
      <c r="A442">
        <v>4</v>
      </c>
      <c r="B442">
        <f>COUNTIFS($A$2:A442,A442,$C$2:C442,"conf_1")</f>
        <v>2</v>
      </c>
      <c r="C442" t="s">
        <v>3</v>
      </c>
      <c r="D442">
        <v>0.68</v>
      </c>
    </row>
    <row r="443" spans="1:4" x14ac:dyDescent="0.3">
      <c r="A443">
        <v>4</v>
      </c>
      <c r="B443">
        <f>COUNTIFS($A$2:A443,A443,$C$2:C443,"conf_1")</f>
        <v>2</v>
      </c>
      <c r="C443" t="s">
        <v>4</v>
      </c>
      <c r="D443">
        <v>0.626</v>
      </c>
    </row>
    <row r="444" spans="1:4" x14ac:dyDescent="0.3">
      <c r="A444">
        <v>4</v>
      </c>
      <c r="B444">
        <f>COUNTIFS($A$2:A444,A444,$C$2:C444,"conf_1")</f>
        <v>2</v>
      </c>
      <c r="C444" t="s">
        <v>5</v>
      </c>
      <c r="D444">
        <v>0.63300000000000001</v>
      </c>
    </row>
    <row r="445" spans="1:4" x14ac:dyDescent="0.3">
      <c r="A445">
        <v>4</v>
      </c>
      <c r="B445">
        <f>COUNTIFS($A$2:A445,A445,$C$2:C445,"conf_1")</f>
        <v>2</v>
      </c>
      <c r="C445" t="s">
        <v>6</v>
      </c>
      <c r="D445">
        <v>0.621</v>
      </c>
    </row>
    <row r="446" spans="1:4" x14ac:dyDescent="0.3">
      <c r="A446">
        <v>4</v>
      </c>
      <c r="B446">
        <f>COUNTIFS($A$2:A446,A446,$C$2:C446,"conf_1")</f>
        <v>2</v>
      </c>
      <c r="C446" t="s">
        <v>7</v>
      </c>
      <c r="D446">
        <v>0.64100000000000001</v>
      </c>
    </row>
    <row r="447" spans="1:4" x14ac:dyDescent="0.3">
      <c r="A447">
        <v>4</v>
      </c>
      <c r="B447">
        <f>COUNTIFS($A$2:A447,A447,$C$2:C447,"conf_1")</f>
        <v>2</v>
      </c>
      <c r="C447" t="s">
        <v>8</v>
      </c>
      <c r="D447">
        <v>0.626</v>
      </c>
    </row>
    <row r="448" spans="1:4" x14ac:dyDescent="0.3">
      <c r="A448">
        <v>4</v>
      </c>
      <c r="B448">
        <f>COUNTIFS($A$2:A448,A448,$C$2:C448,"conf_1")</f>
        <v>2</v>
      </c>
      <c r="C448" t="s">
        <v>9</v>
      </c>
      <c r="D448">
        <v>0.13500000000000001</v>
      </c>
    </row>
    <row r="449" spans="1:4" x14ac:dyDescent="0.3">
      <c r="A449">
        <v>4</v>
      </c>
      <c r="B449">
        <f>COUNTIFS($A$2:A449,A449,$C$2:C449,"conf_1")</f>
        <v>2</v>
      </c>
      <c r="C449" t="s">
        <v>10</v>
      </c>
      <c r="D449">
        <v>0.67700000000000005</v>
      </c>
    </row>
    <row r="450" spans="1:4" x14ac:dyDescent="0.3">
      <c r="A450">
        <v>4</v>
      </c>
      <c r="B450">
        <f>COUNTIFS($A$2:A450,A450,$C$2:C450,"conf_1")</f>
        <v>2</v>
      </c>
      <c r="C450" t="s">
        <v>11</v>
      </c>
      <c r="D450">
        <v>0.63200000000000001</v>
      </c>
    </row>
    <row r="451" spans="1:4" x14ac:dyDescent="0.3">
      <c r="A451">
        <v>4</v>
      </c>
      <c r="B451">
        <f>COUNTIFS($A$2:A451,A451,$C$2:C451,"conf_1")</f>
        <v>2</v>
      </c>
      <c r="C451" t="s">
        <v>12</v>
      </c>
      <c r="D451">
        <v>0.67800000000000005</v>
      </c>
    </row>
    <row r="452" spans="1:4" x14ac:dyDescent="0.3">
      <c r="A452">
        <v>4</v>
      </c>
      <c r="B452">
        <f>COUNTIFS($A$2:A452,A452,$C$2:C452,"conf_1")</f>
        <v>2</v>
      </c>
      <c r="C452" t="s">
        <v>13</v>
      </c>
      <c r="D452">
        <v>0.66400000000000003</v>
      </c>
    </row>
    <row r="453" spans="1:4" x14ac:dyDescent="0.3">
      <c r="A453">
        <v>4</v>
      </c>
      <c r="B453">
        <f>COUNTIFS($A$2:A453,A453,$C$2:C453,"conf_1")</f>
        <v>2</v>
      </c>
      <c r="C453" t="s">
        <v>14</v>
      </c>
      <c r="D453">
        <v>0.12</v>
      </c>
    </row>
    <row r="454" spans="1:4" x14ac:dyDescent="0.3">
      <c r="A454">
        <v>4</v>
      </c>
      <c r="B454">
        <f>COUNTIFS($A$2:A454,A454,$C$2:C454,"conf_1")</f>
        <v>2</v>
      </c>
      <c r="C454" t="s">
        <v>15</v>
      </c>
      <c r="D454">
        <v>0.69199999999999995</v>
      </c>
    </row>
    <row r="455" spans="1:4" x14ac:dyDescent="0.3">
      <c r="A455">
        <v>4</v>
      </c>
      <c r="B455">
        <f>COUNTIFS($A$2:A455,A455,$C$2:C455,"conf_1")</f>
        <v>2</v>
      </c>
      <c r="C455" t="s">
        <v>16</v>
      </c>
      <c r="D455">
        <v>6.8000000000000005E-2</v>
      </c>
    </row>
    <row r="456" spans="1:4" x14ac:dyDescent="0.3">
      <c r="A456">
        <v>4</v>
      </c>
      <c r="B456">
        <f>COUNTIFS($A$2:A456,A456,$C$2:C456,"conf_1")</f>
        <v>2</v>
      </c>
      <c r="C456" t="s">
        <v>17</v>
      </c>
      <c r="D456">
        <v>0.11799999999999999</v>
      </c>
    </row>
    <row r="457" spans="1:4" x14ac:dyDescent="0.3">
      <c r="A457">
        <v>4</v>
      </c>
      <c r="B457">
        <f>COUNTIFS($A$2:A457,A457,$C$2:C457,"conf_1")</f>
        <v>2</v>
      </c>
      <c r="C457" t="s">
        <v>18</v>
      </c>
      <c r="D457">
        <v>0.193</v>
      </c>
    </row>
    <row r="458" spans="1:4" x14ac:dyDescent="0.3">
      <c r="A458">
        <v>4</v>
      </c>
      <c r="B458">
        <f>COUNTIFS($A$2:A458,A458,$C$2:C458,"conf_1")</f>
        <v>2</v>
      </c>
      <c r="C458" t="s">
        <v>19</v>
      </c>
      <c r="D458">
        <v>0.65300000000000002</v>
      </c>
    </row>
    <row r="459" spans="1:4" x14ac:dyDescent="0.3">
      <c r="A459">
        <v>4</v>
      </c>
      <c r="B459">
        <f>COUNTIFS($A$2:A459,A459,$C$2:C459,"conf_1")</f>
        <v>2</v>
      </c>
      <c r="C459" t="s">
        <v>20</v>
      </c>
      <c r="D459">
        <v>0.67100000000000004</v>
      </c>
    </row>
    <row r="460" spans="1:4" x14ac:dyDescent="0.3">
      <c r="A460">
        <v>4</v>
      </c>
      <c r="B460">
        <f>COUNTIFS($A$2:A460,A460,$C$2:C460,"conf_1")</f>
        <v>2</v>
      </c>
      <c r="C460" t="s">
        <v>21</v>
      </c>
      <c r="D460">
        <v>0.19400000000000001</v>
      </c>
    </row>
    <row r="461" spans="1:4" x14ac:dyDescent="0.3">
      <c r="A461">
        <v>4</v>
      </c>
      <c r="B461">
        <f>COUNTIFS($A$2:A461,A461,$C$2:C461,"conf_1")</f>
        <v>2</v>
      </c>
      <c r="C461" t="s">
        <v>22</v>
      </c>
      <c r="D461">
        <v>0.16900000000000001</v>
      </c>
    </row>
    <row r="462" spans="1:4" x14ac:dyDescent="0.3">
      <c r="A462">
        <v>4</v>
      </c>
      <c r="B462">
        <f>COUNTIFS($A$2:A462,A462,$C$2:C462,"conf_1")</f>
        <v>3</v>
      </c>
      <c r="C462" t="s">
        <v>3</v>
      </c>
      <c r="D462">
        <v>0.68200000000000005</v>
      </c>
    </row>
    <row r="463" spans="1:4" x14ac:dyDescent="0.3">
      <c r="A463">
        <v>4</v>
      </c>
      <c r="B463">
        <f>COUNTIFS($A$2:A463,A463,$C$2:C463,"conf_1")</f>
        <v>3</v>
      </c>
      <c r="C463" t="s">
        <v>4</v>
      </c>
      <c r="D463">
        <v>0.626</v>
      </c>
    </row>
    <row r="464" spans="1:4" x14ac:dyDescent="0.3">
      <c r="A464">
        <v>4</v>
      </c>
      <c r="B464">
        <f>COUNTIFS($A$2:A464,A464,$C$2:C464,"conf_1")</f>
        <v>3</v>
      </c>
      <c r="C464" t="s">
        <v>5</v>
      </c>
      <c r="D464">
        <v>0.63400000000000001</v>
      </c>
    </row>
    <row r="465" spans="1:4" x14ac:dyDescent="0.3">
      <c r="A465">
        <v>4</v>
      </c>
      <c r="B465">
        <f>COUNTIFS($A$2:A465,A465,$C$2:C465,"conf_1")</f>
        <v>3</v>
      </c>
      <c r="C465" t="s">
        <v>6</v>
      </c>
      <c r="D465">
        <v>0.622</v>
      </c>
    </row>
    <row r="466" spans="1:4" x14ac:dyDescent="0.3">
      <c r="A466">
        <v>4</v>
      </c>
      <c r="B466">
        <f>COUNTIFS($A$2:A466,A466,$C$2:C466,"conf_1")</f>
        <v>3</v>
      </c>
      <c r="C466" t="s">
        <v>7</v>
      </c>
      <c r="D466">
        <v>0.64200000000000002</v>
      </c>
    </row>
    <row r="467" spans="1:4" x14ac:dyDescent="0.3">
      <c r="A467">
        <v>4</v>
      </c>
      <c r="B467">
        <f>COUNTIFS($A$2:A467,A467,$C$2:C467,"conf_1")</f>
        <v>3</v>
      </c>
      <c r="C467" t="s">
        <v>8</v>
      </c>
      <c r="D467">
        <v>0.627</v>
      </c>
    </row>
    <row r="468" spans="1:4" x14ac:dyDescent="0.3">
      <c r="A468">
        <v>4</v>
      </c>
      <c r="B468">
        <f>COUNTIFS($A$2:A468,A468,$C$2:C468,"conf_1")</f>
        <v>3</v>
      </c>
      <c r="C468" t="s">
        <v>9</v>
      </c>
      <c r="D468">
        <v>0.13900000000000001</v>
      </c>
    </row>
    <row r="469" spans="1:4" x14ac:dyDescent="0.3">
      <c r="A469">
        <v>4</v>
      </c>
      <c r="B469">
        <f>COUNTIFS($A$2:A469,A469,$C$2:C469,"conf_1")</f>
        <v>3</v>
      </c>
      <c r="C469" t="s">
        <v>10</v>
      </c>
      <c r="D469">
        <v>0.67900000000000005</v>
      </c>
    </row>
    <row r="470" spans="1:4" x14ac:dyDescent="0.3">
      <c r="A470">
        <v>4</v>
      </c>
      <c r="B470">
        <f>COUNTIFS($A$2:A470,A470,$C$2:C470,"conf_1")</f>
        <v>3</v>
      </c>
      <c r="C470" t="s">
        <v>11</v>
      </c>
      <c r="D470">
        <v>0.63300000000000001</v>
      </c>
    </row>
    <row r="471" spans="1:4" x14ac:dyDescent="0.3">
      <c r="A471">
        <v>4</v>
      </c>
      <c r="B471">
        <f>COUNTIFS($A$2:A471,A471,$C$2:C471,"conf_1")</f>
        <v>3</v>
      </c>
      <c r="C471" t="s">
        <v>12</v>
      </c>
      <c r="D471">
        <v>0.68</v>
      </c>
    </row>
    <row r="472" spans="1:4" x14ac:dyDescent="0.3">
      <c r="A472">
        <v>4</v>
      </c>
      <c r="B472">
        <f>COUNTIFS($A$2:A472,A472,$C$2:C472,"conf_1")</f>
        <v>3</v>
      </c>
      <c r="C472" t="s">
        <v>13</v>
      </c>
      <c r="D472">
        <v>0.66600000000000004</v>
      </c>
    </row>
    <row r="473" spans="1:4" x14ac:dyDescent="0.3">
      <c r="A473">
        <v>4</v>
      </c>
      <c r="B473">
        <f>COUNTIFS($A$2:A473,A473,$C$2:C473,"conf_1")</f>
        <v>3</v>
      </c>
      <c r="C473" t="s">
        <v>14</v>
      </c>
      <c r="D473">
        <v>0.11899999999999999</v>
      </c>
    </row>
    <row r="474" spans="1:4" x14ac:dyDescent="0.3">
      <c r="A474">
        <v>4</v>
      </c>
      <c r="B474">
        <f>COUNTIFS($A$2:A474,A474,$C$2:C474,"conf_1")</f>
        <v>3</v>
      </c>
      <c r="C474" t="s">
        <v>15</v>
      </c>
      <c r="D474">
        <v>0.69299999999999995</v>
      </c>
    </row>
    <row r="475" spans="1:4" x14ac:dyDescent="0.3">
      <c r="A475">
        <v>4</v>
      </c>
      <c r="B475">
        <f>COUNTIFS($A$2:A475,A475,$C$2:C475,"conf_1")</f>
        <v>3</v>
      </c>
      <c r="C475" t="s">
        <v>16</v>
      </c>
      <c r="D475">
        <v>6.7000000000000004E-2</v>
      </c>
    </row>
    <row r="476" spans="1:4" x14ac:dyDescent="0.3">
      <c r="A476">
        <v>4</v>
      </c>
      <c r="B476">
        <f>COUNTIFS($A$2:A476,A476,$C$2:C476,"conf_1")</f>
        <v>3</v>
      </c>
      <c r="C476" t="s">
        <v>17</v>
      </c>
      <c r="D476">
        <v>0.12</v>
      </c>
    </row>
    <row r="477" spans="1:4" x14ac:dyDescent="0.3">
      <c r="A477">
        <v>4</v>
      </c>
      <c r="B477">
        <f>COUNTIFS($A$2:A477,A477,$C$2:C477,"conf_1")</f>
        <v>3</v>
      </c>
      <c r="C477" t="s">
        <v>18</v>
      </c>
      <c r="D477">
        <v>0.19</v>
      </c>
    </row>
    <row r="478" spans="1:4" x14ac:dyDescent="0.3">
      <c r="A478">
        <v>4</v>
      </c>
      <c r="B478">
        <f>COUNTIFS($A$2:A478,A478,$C$2:C478,"conf_1")</f>
        <v>3</v>
      </c>
      <c r="C478" t="s">
        <v>19</v>
      </c>
      <c r="D478">
        <v>0.65400000000000003</v>
      </c>
    </row>
    <row r="479" spans="1:4" x14ac:dyDescent="0.3">
      <c r="A479">
        <v>4</v>
      </c>
      <c r="B479">
        <f>COUNTIFS($A$2:A479,A479,$C$2:C479,"conf_1")</f>
        <v>3</v>
      </c>
      <c r="C479" t="s">
        <v>20</v>
      </c>
      <c r="D479">
        <v>0.67300000000000004</v>
      </c>
    </row>
    <row r="480" spans="1:4" x14ac:dyDescent="0.3">
      <c r="A480">
        <v>4</v>
      </c>
      <c r="B480">
        <f>COUNTIFS($A$2:A480,A480,$C$2:C480,"conf_1")</f>
        <v>3</v>
      </c>
      <c r="C480" t="s">
        <v>21</v>
      </c>
      <c r="D480">
        <v>0.191</v>
      </c>
    </row>
    <row r="481" spans="1:4" x14ac:dyDescent="0.3">
      <c r="A481">
        <v>4</v>
      </c>
      <c r="B481">
        <f>COUNTIFS($A$2:A481,A481,$C$2:C481,"conf_1")</f>
        <v>3</v>
      </c>
      <c r="C481" t="s">
        <v>22</v>
      </c>
      <c r="D481">
        <v>0.16700000000000001</v>
      </c>
    </row>
    <row r="482" spans="1:4" x14ac:dyDescent="0.3">
      <c r="A482">
        <v>4</v>
      </c>
      <c r="B482">
        <f>COUNTIFS($A$2:A482,A482,$C$2:C482,"conf_1")</f>
        <v>4</v>
      </c>
      <c r="C482" t="s">
        <v>3</v>
      </c>
      <c r="D482">
        <v>0.67600000000000005</v>
      </c>
    </row>
    <row r="483" spans="1:4" x14ac:dyDescent="0.3">
      <c r="A483">
        <v>4</v>
      </c>
      <c r="B483">
        <f>COUNTIFS($A$2:A483,A483,$C$2:C483,"conf_1")</f>
        <v>4</v>
      </c>
      <c r="C483" t="s">
        <v>4</v>
      </c>
      <c r="D483">
        <v>0.624</v>
      </c>
    </row>
    <row r="484" spans="1:4" x14ac:dyDescent="0.3">
      <c r="A484">
        <v>4</v>
      </c>
      <c r="B484">
        <f>COUNTIFS($A$2:A484,A484,$C$2:C484,"conf_1")</f>
        <v>4</v>
      </c>
      <c r="C484" t="s">
        <v>5</v>
      </c>
      <c r="D484">
        <v>0.63100000000000001</v>
      </c>
    </row>
    <row r="485" spans="1:4" x14ac:dyDescent="0.3">
      <c r="A485">
        <v>4</v>
      </c>
      <c r="B485">
        <f>COUNTIFS($A$2:A485,A485,$C$2:C485,"conf_1")</f>
        <v>4</v>
      </c>
      <c r="C485" t="s">
        <v>6</v>
      </c>
      <c r="D485">
        <v>0.62</v>
      </c>
    </row>
    <row r="486" spans="1:4" x14ac:dyDescent="0.3">
      <c r="A486">
        <v>4</v>
      </c>
      <c r="B486">
        <f>COUNTIFS($A$2:A486,A486,$C$2:C486,"conf_1")</f>
        <v>4</v>
      </c>
      <c r="C486" t="s">
        <v>7</v>
      </c>
      <c r="D486">
        <v>0.63800000000000001</v>
      </c>
    </row>
    <row r="487" spans="1:4" x14ac:dyDescent="0.3">
      <c r="A487">
        <v>4</v>
      </c>
      <c r="B487">
        <f>COUNTIFS($A$2:A487,A487,$C$2:C487,"conf_1")</f>
        <v>4</v>
      </c>
      <c r="C487" t="s">
        <v>8</v>
      </c>
      <c r="D487">
        <v>0.626</v>
      </c>
    </row>
    <row r="488" spans="1:4" x14ac:dyDescent="0.3">
      <c r="A488">
        <v>4</v>
      </c>
      <c r="B488">
        <f>COUNTIFS($A$2:A488,A488,$C$2:C488,"conf_1")</f>
        <v>4</v>
      </c>
      <c r="C488" t="s">
        <v>9</v>
      </c>
      <c r="D488">
        <v>0.124</v>
      </c>
    </row>
    <row r="489" spans="1:4" x14ac:dyDescent="0.3">
      <c r="A489">
        <v>4</v>
      </c>
      <c r="B489">
        <f>COUNTIFS($A$2:A489,A489,$C$2:C489,"conf_1")</f>
        <v>4</v>
      </c>
      <c r="C489" t="s">
        <v>10</v>
      </c>
      <c r="D489">
        <v>0.67200000000000004</v>
      </c>
    </row>
    <row r="490" spans="1:4" x14ac:dyDescent="0.3">
      <c r="A490">
        <v>4</v>
      </c>
      <c r="B490">
        <f>COUNTIFS($A$2:A490,A490,$C$2:C490,"conf_1")</f>
        <v>4</v>
      </c>
      <c r="C490" t="s">
        <v>11</v>
      </c>
      <c r="D490">
        <v>0.63100000000000001</v>
      </c>
    </row>
    <row r="491" spans="1:4" x14ac:dyDescent="0.3">
      <c r="A491">
        <v>4</v>
      </c>
      <c r="B491">
        <f>COUNTIFS($A$2:A491,A491,$C$2:C491,"conf_1")</f>
        <v>4</v>
      </c>
      <c r="C491" t="s">
        <v>12</v>
      </c>
      <c r="D491">
        <v>0.67400000000000004</v>
      </c>
    </row>
    <row r="492" spans="1:4" x14ac:dyDescent="0.3">
      <c r="A492">
        <v>4</v>
      </c>
      <c r="B492">
        <f>COUNTIFS($A$2:A492,A492,$C$2:C492,"conf_1")</f>
        <v>4</v>
      </c>
      <c r="C492" t="s">
        <v>13</v>
      </c>
      <c r="D492">
        <v>0.66100000000000003</v>
      </c>
    </row>
    <row r="493" spans="1:4" x14ac:dyDescent="0.3">
      <c r="A493">
        <v>4</v>
      </c>
      <c r="B493">
        <f>COUNTIFS($A$2:A493,A493,$C$2:C493,"conf_1")</f>
        <v>4</v>
      </c>
      <c r="C493" t="s">
        <v>14</v>
      </c>
      <c r="D493">
        <v>0.121</v>
      </c>
    </row>
    <row r="494" spans="1:4" x14ac:dyDescent="0.3">
      <c r="A494">
        <v>4</v>
      </c>
      <c r="B494">
        <f>COUNTIFS($A$2:A494,A494,$C$2:C494,"conf_1")</f>
        <v>4</v>
      </c>
      <c r="C494" t="s">
        <v>15</v>
      </c>
      <c r="D494">
        <v>0.68700000000000006</v>
      </c>
    </row>
    <row r="495" spans="1:4" x14ac:dyDescent="0.3">
      <c r="A495">
        <v>4</v>
      </c>
      <c r="B495">
        <f>COUNTIFS($A$2:A495,A495,$C$2:C495,"conf_1")</f>
        <v>4</v>
      </c>
      <c r="C495" t="s">
        <v>16</v>
      </c>
      <c r="D495">
        <v>9.5000000000000001E-2</v>
      </c>
    </row>
    <row r="496" spans="1:4" x14ac:dyDescent="0.3">
      <c r="A496">
        <v>4</v>
      </c>
      <c r="B496">
        <f>COUNTIFS($A$2:A496,A496,$C$2:C496,"conf_1")</f>
        <v>4</v>
      </c>
      <c r="C496" t="s">
        <v>17</v>
      </c>
      <c r="D496">
        <v>0.113</v>
      </c>
    </row>
    <row r="497" spans="1:4" x14ac:dyDescent="0.3">
      <c r="A497">
        <v>4</v>
      </c>
      <c r="B497">
        <f>COUNTIFS($A$2:A497,A497,$C$2:C497,"conf_1")</f>
        <v>4</v>
      </c>
      <c r="C497" t="s">
        <v>18</v>
      </c>
      <c r="D497">
        <v>0.19900000000000001</v>
      </c>
    </row>
    <row r="498" spans="1:4" x14ac:dyDescent="0.3">
      <c r="A498">
        <v>4</v>
      </c>
      <c r="B498">
        <f>COUNTIFS($A$2:A498,A498,$C$2:C498,"conf_1")</f>
        <v>4</v>
      </c>
      <c r="C498" t="s">
        <v>19</v>
      </c>
      <c r="D498">
        <v>0.64900000000000002</v>
      </c>
    </row>
    <row r="499" spans="1:4" x14ac:dyDescent="0.3">
      <c r="A499">
        <v>4</v>
      </c>
      <c r="B499">
        <f>COUNTIFS($A$2:A499,A499,$C$2:C499,"conf_1")</f>
        <v>4</v>
      </c>
      <c r="C499" t="s">
        <v>20</v>
      </c>
      <c r="D499">
        <v>0.66700000000000004</v>
      </c>
    </row>
    <row r="500" spans="1:4" x14ac:dyDescent="0.3">
      <c r="A500">
        <v>4</v>
      </c>
      <c r="B500">
        <f>COUNTIFS($A$2:A500,A500,$C$2:C500,"conf_1")</f>
        <v>4</v>
      </c>
      <c r="C500" t="s">
        <v>21</v>
      </c>
      <c r="D500">
        <v>0.20100000000000001</v>
      </c>
    </row>
    <row r="501" spans="1:4" x14ac:dyDescent="0.3">
      <c r="A501">
        <v>4</v>
      </c>
      <c r="B501">
        <f>COUNTIFS($A$2:A501,A501,$C$2:C501,"conf_1")</f>
        <v>4</v>
      </c>
      <c r="C501" t="s">
        <v>22</v>
      </c>
      <c r="D501">
        <v>0.17499999999999999</v>
      </c>
    </row>
    <row r="502" spans="1:4" x14ac:dyDescent="0.3">
      <c r="A502">
        <v>4</v>
      </c>
      <c r="B502">
        <f>COUNTIFS($A$2:A502,A502,$C$2:C502,"conf_1")</f>
        <v>5</v>
      </c>
      <c r="C502" t="s">
        <v>3</v>
      </c>
      <c r="D502">
        <v>0.68500000000000005</v>
      </c>
    </row>
    <row r="503" spans="1:4" x14ac:dyDescent="0.3">
      <c r="A503">
        <v>4</v>
      </c>
      <c r="B503">
        <f>COUNTIFS($A$2:A503,A503,$C$2:C503,"conf_1")</f>
        <v>5</v>
      </c>
      <c r="C503" t="s">
        <v>4</v>
      </c>
      <c r="D503">
        <v>0.628</v>
      </c>
    </row>
    <row r="504" spans="1:4" x14ac:dyDescent="0.3">
      <c r="A504">
        <v>4</v>
      </c>
      <c r="B504">
        <f>COUNTIFS($A$2:A504,A504,$C$2:C504,"conf_1")</f>
        <v>5</v>
      </c>
      <c r="C504" t="s">
        <v>5</v>
      </c>
      <c r="D504">
        <v>0.63600000000000001</v>
      </c>
    </row>
    <row r="505" spans="1:4" x14ac:dyDescent="0.3">
      <c r="A505">
        <v>4</v>
      </c>
      <c r="B505">
        <f>COUNTIFS($A$2:A505,A505,$C$2:C505,"conf_1")</f>
        <v>5</v>
      </c>
      <c r="C505" t="s">
        <v>6</v>
      </c>
      <c r="D505">
        <v>0.623</v>
      </c>
    </row>
    <row r="506" spans="1:4" x14ac:dyDescent="0.3">
      <c r="A506">
        <v>4</v>
      </c>
      <c r="B506">
        <f>COUNTIFS($A$2:A506,A506,$C$2:C506,"conf_1")</f>
        <v>5</v>
      </c>
      <c r="C506" t="s">
        <v>7</v>
      </c>
      <c r="D506">
        <v>0.64400000000000002</v>
      </c>
    </row>
    <row r="507" spans="1:4" x14ac:dyDescent="0.3">
      <c r="A507">
        <v>4</v>
      </c>
      <c r="B507">
        <f>COUNTIFS($A$2:A507,A507,$C$2:C507,"conf_1")</f>
        <v>5</v>
      </c>
      <c r="C507" t="s">
        <v>8</v>
      </c>
      <c r="D507">
        <v>0.628</v>
      </c>
    </row>
    <row r="508" spans="1:4" x14ac:dyDescent="0.3">
      <c r="A508">
        <v>4</v>
      </c>
      <c r="B508">
        <f>COUNTIFS($A$2:A508,A508,$C$2:C508,"conf_1")</f>
        <v>5</v>
      </c>
      <c r="C508" t="s">
        <v>9</v>
      </c>
      <c r="D508">
        <v>0.14299999999999999</v>
      </c>
    </row>
    <row r="509" spans="1:4" x14ac:dyDescent="0.3">
      <c r="A509">
        <v>4</v>
      </c>
      <c r="B509">
        <f>COUNTIFS($A$2:A509,A509,$C$2:C509,"conf_1")</f>
        <v>5</v>
      </c>
      <c r="C509" t="s">
        <v>10</v>
      </c>
      <c r="D509">
        <v>0.68200000000000005</v>
      </c>
    </row>
    <row r="510" spans="1:4" x14ac:dyDescent="0.3">
      <c r="A510">
        <v>4</v>
      </c>
      <c r="B510">
        <f>COUNTIFS($A$2:A510,A510,$C$2:C510,"conf_1")</f>
        <v>5</v>
      </c>
      <c r="C510" t="s">
        <v>11</v>
      </c>
      <c r="D510">
        <v>0.63500000000000001</v>
      </c>
    </row>
    <row r="511" spans="1:4" x14ac:dyDescent="0.3">
      <c r="A511">
        <v>4</v>
      </c>
      <c r="B511">
        <f>COUNTIFS($A$2:A511,A511,$C$2:C511,"conf_1")</f>
        <v>5</v>
      </c>
      <c r="C511" t="s">
        <v>12</v>
      </c>
      <c r="D511">
        <v>0.68300000000000005</v>
      </c>
    </row>
    <row r="512" spans="1:4" x14ac:dyDescent="0.3">
      <c r="A512">
        <v>4</v>
      </c>
      <c r="B512">
        <f>COUNTIFS($A$2:A512,A512,$C$2:C512,"conf_1")</f>
        <v>5</v>
      </c>
      <c r="C512" t="s">
        <v>13</v>
      </c>
      <c r="D512">
        <v>0.66800000000000004</v>
      </c>
    </row>
    <row r="513" spans="1:4" x14ac:dyDescent="0.3">
      <c r="A513">
        <v>4</v>
      </c>
      <c r="B513">
        <f>COUNTIFS($A$2:A513,A513,$C$2:C513,"conf_1")</f>
        <v>5</v>
      </c>
      <c r="C513" t="s">
        <v>14</v>
      </c>
      <c r="D513">
        <v>0.11700000000000001</v>
      </c>
    </row>
    <row r="514" spans="1:4" x14ac:dyDescent="0.3">
      <c r="A514">
        <v>4</v>
      </c>
      <c r="B514">
        <f>COUNTIFS($A$2:A514,A514,$C$2:C514,"conf_1")</f>
        <v>5</v>
      </c>
      <c r="C514" t="s">
        <v>15</v>
      </c>
      <c r="D514">
        <v>0.69599999999999995</v>
      </c>
    </row>
    <row r="515" spans="1:4" x14ac:dyDescent="0.3">
      <c r="A515">
        <v>4</v>
      </c>
      <c r="B515">
        <f>COUNTIFS($A$2:A515,A515,$C$2:C515,"conf_1")</f>
        <v>5</v>
      </c>
      <c r="C515" t="s">
        <v>16</v>
      </c>
      <c r="D515">
        <v>6.5000000000000002E-2</v>
      </c>
    </row>
    <row r="516" spans="1:4" x14ac:dyDescent="0.3">
      <c r="A516">
        <v>4</v>
      </c>
      <c r="B516">
        <f>COUNTIFS($A$2:A516,A516,$C$2:C516,"conf_1")</f>
        <v>5</v>
      </c>
      <c r="C516" t="s">
        <v>17</v>
      </c>
      <c r="D516">
        <v>0.121</v>
      </c>
    </row>
    <row r="517" spans="1:4" x14ac:dyDescent="0.3">
      <c r="A517">
        <v>4</v>
      </c>
      <c r="B517">
        <f>COUNTIFS($A$2:A517,A517,$C$2:C517,"conf_1")</f>
        <v>5</v>
      </c>
      <c r="C517" t="s">
        <v>18</v>
      </c>
      <c r="D517">
        <v>0.187</v>
      </c>
    </row>
    <row r="518" spans="1:4" x14ac:dyDescent="0.3">
      <c r="A518">
        <v>4</v>
      </c>
      <c r="B518">
        <f>COUNTIFS($A$2:A518,A518,$C$2:C518,"conf_1")</f>
        <v>5</v>
      </c>
      <c r="C518" t="s">
        <v>19</v>
      </c>
      <c r="D518">
        <v>0.65700000000000003</v>
      </c>
    </row>
    <row r="519" spans="1:4" x14ac:dyDescent="0.3">
      <c r="A519">
        <v>4</v>
      </c>
      <c r="B519">
        <f>COUNTIFS($A$2:A519,A519,$C$2:C519,"conf_1")</f>
        <v>5</v>
      </c>
      <c r="C519" t="s">
        <v>20</v>
      </c>
      <c r="D519">
        <v>0.67600000000000005</v>
      </c>
    </row>
    <row r="520" spans="1:4" x14ac:dyDescent="0.3">
      <c r="A520">
        <v>4</v>
      </c>
      <c r="B520">
        <f>COUNTIFS($A$2:A520,A520,$C$2:C520,"conf_1")</f>
        <v>5</v>
      </c>
      <c r="C520" t="s">
        <v>21</v>
      </c>
      <c r="D520">
        <v>0.112</v>
      </c>
    </row>
    <row r="521" spans="1:4" x14ac:dyDescent="0.3">
      <c r="A521">
        <v>4</v>
      </c>
      <c r="B521">
        <f>COUNTIFS($A$2:A521,A521,$C$2:C521,"conf_1")</f>
        <v>5</v>
      </c>
      <c r="C521" t="s">
        <v>22</v>
      </c>
      <c r="D521">
        <v>0.16600000000000001</v>
      </c>
    </row>
    <row r="522" spans="1:4" x14ac:dyDescent="0.3">
      <c r="A522">
        <v>4</v>
      </c>
      <c r="B522">
        <f>COUNTIFS($A$2:A522,A522,$C$2:C522,"conf_1")</f>
        <v>6</v>
      </c>
      <c r="C522" t="s">
        <v>3</v>
      </c>
      <c r="D522">
        <v>0.68400000000000005</v>
      </c>
    </row>
    <row r="523" spans="1:4" x14ac:dyDescent="0.3">
      <c r="A523">
        <v>4</v>
      </c>
      <c r="B523">
        <f>COUNTIFS($A$2:A523,A523,$C$2:C523,"conf_1")</f>
        <v>6</v>
      </c>
      <c r="C523" t="s">
        <v>4</v>
      </c>
      <c r="D523">
        <v>0.627</v>
      </c>
    </row>
    <row r="524" spans="1:4" x14ac:dyDescent="0.3">
      <c r="A524">
        <v>4</v>
      </c>
      <c r="B524">
        <f>COUNTIFS($A$2:A524,A524,$C$2:C524,"conf_1")</f>
        <v>6</v>
      </c>
      <c r="C524" t="s">
        <v>5</v>
      </c>
      <c r="D524">
        <v>0.63600000000000001</v>
      </c>
    </row>
    <row r="525" spans="1:4" x14ac:dyDescent="0.3">
      <c r="A525">
        <v>4</v>
      </c>
      <c r="B525">
        <f>COUNTIFS($A$2:A525,A525,$C$2:C525,"conf_1")</f>
        <v>6</v>
      </c>
      <c r="C525" t="s">
        <v>6</v>
      </c>
      <c r="D525">
        <v>0.623</v>
      </c>
    </row>
    <row r="526" spans="1:4" x14ac:dyDescent="0.3">
      <c r="A526">
        <v>4</v>
      </c>
      <c r="B526">
        <f>COUNTIFS($A$2:A526,A526,$C$2:C526,"conf_1")</f>
        <v>6</v>
      </c>
      <c r="C526" t="s">
        <v>7</v>
      </c>
      <c r="D526">
        <v>0.64300000000000002</v>
      </c>
    </row>
    <row r="527" spans="1:4" x14ac:dyDescent="0.3">
      <c r="A527">
        <v>4</v>
      </c>
      <c r="B527">
        <f>COUNTIFS($A$2:A527,A527,$C$2:C527,"conf_1")</f>
        <v>6</v>
      </c>
      <c r="C527" t="s">
        <v>8</v>
      </c>
      <c r="D527">
        <v>0.628</v>
      </c>
    </row>
    <row r="528" spans="1:4" x14ac:dyDescent="0.3">
      <c r="A528">
        <v>4</v>
      </c>
      <c r="B528">
        <f>COUNTIFS($A$2:A528,A528,$C$2:C528,"conf_1")</f>
        <v>6</v>
      </c>
      <c r="C528" t="s">
        <v>9</v>
      </c>
      <c r="D528">
        <v>0.14000000000000001</v>
      </c>
    </row>
    <row r="529" spans="1:4" x14ac:dyDescent="0.3">
      <c r="A529">
        <v>4</v>
      </c>
      <c r="B529">
        <f>COUNTIFS($A$2:A529,A529,$C$2:C529,"conf_1")</f>
        <v>6</v>
      </c>
      <c r="C529" t="s">
        <v>10</v>
      </c>
      <c r="D529">
        <v>0.68100000000000005</v>
      </c>
    </row>
    <row r="530" spans="1:4" x14ac:dyDescent="0.3">
      <c r="A530">
        <v>4</v>
      </c>
      <c r="B530">
        <f>COUNTIFS($A$2:A530,A530,$C$2:C530,"conf_1")</f>
        <v>6</v>
      </c>
      <c r="C530" t="s">
        <v>11</v>
      </c>
      <c r="D530">
        <v>0.63400000000000001</v>
      </c>
    </row>
    <row r="531" spans="1:4" x14ac:dyDescent="0.3">
      <c r="A531">
        <v>4</v>
      </c>
      <c r="B531">
        <f>COUNTIFS($A$2:A531,A531,$C$2:C531,"conf_1")</f>
        <v>6</v>
      </c>
      <c r="C531" t="s">
        <v>12</v>
      </c>
      <c r="D531">
        <v>0.68200000000000005</v>
      </c>
    </row>
    <row r="532" spans="1:4" x14ac:dyDescent="0.3">
      <c r="A532">
        <v>4</v>
      </c>
      <c r="B532">
        <f>COUNTIFS($A$2:A532,A532,$C$2:C532,"conf_1")</f>
        <v>6</v>
      </c>
      <c r="C532" t="s">
        <v>13</v>
      </c>
      <c r="D532">
        <v>0.66800000000000004</v>
      </c>
    </row>
    <row r="533" spans="1:4" x14ac:dyDescent="0.3">
      <c r="A533">
        <v>4</v>
      </c>
      <c r="B533">
        <f>COUNTIFS($A$2:A533,A533,$C$2:C533,"conf_1")</f>
        <v>6</v>
      </c>
      <c r="C533" t="s">
        <v>14</v>
      </c>
      <c r="D533">
        <v>0.11799999999999999</v>
      </c>
    </row>
    <row r="534" spans="1:4" x14ac:dyDescent="0.3">
      <c r="A534">
        <v>4</v>
      </c>
      <c r="B534">
        <f>COUNTIFS($A$2:A534,A534,$C$2:C534,"conf_1")</f>
        <v>6</v>
      </c>
      <c r="C534" t="s">
        <v>15</v>
      </c>
      <c r="D534">
        <v>0.69499999999999995</v>
      </c>
    </row>
    <row r="535" spans="1:4" x14ac:dyDescent="0.3">
      <c r="A535">
        <v>4</v>
      </c>
      <c r="B535">
        <f>COUNTIFS($A$2:A535,A535,$C$2:C535,"conf_1")</f>
        <v>6</v>
      </c>
      <c r="C535" t="s">
        <v>16</v>
      </c>
      <c r="D535">
        <v>6.5000000000000002E-2</v>
      </c>
    </row>
    <row r="536" spans="1:4" x14ac:dyDescent="0.3">
      <c r="A536">
        <v>4</v>
      </c>
      <c r="B536">
        <f>COUNTIFS($A$2:A536,A536,$C$2:C536,"conf_1")</f>
        <v>6</v>
      </c>
      <c r="C536" t="s">
        <v>17</v>
      </c>
      <c r="D536">
        <v>0.11899999999999999</v>
      </c>
    </row>
    <row r="537" spans="1:4" x14ac:dyDescent="0.3">
      <c r="A537">
        <v>4</v>
      </c>
      <c r="B537">
        <f>COUNTIFS($A$2:A537,A537,$C$2:C537,"conf_1")</f>
        <v>6</v>
      </c>
      <c r="C537" t="s">
        <v>18</v>
      </c>
      <c r="D537">
        <v>0.189</v>
      </c>
    </row>
    <row r="538" spans="1:4" x14ac:dyDescent="0.3">
      <c r="A538">
        <v>4</v>
      </c>
      <c r="B538">
        <f>COUNTIFS($A$2:A538,A538,$C$2:C538,"conf_1")</f>
        <v>6</v>
      </c>
      <c r="C538" t="s">
        <v>19</v>
      </c>
      <c r="D538">
        <v>0.65600000000000003</v>
      </c>
    </row>
    <row r="539" spans="1:4" x14ac:dyDescent="0.3">
      <c r="A539">
        <v>4</v>
      </c>
      <c r="B539">
        <f>COUNTIFS($A$2:A539,A539,$C$2:C539,"conf_1")</f>
        <v>6</v>
      </c>
      <c r="C539" t="s">
        <v>20</v>
      </c>
      <c r="D539">
        <v>0.67500000000000004</v>
      </c>
    </row>
    <row r="540" spans="1:4" x14ac:dyDescent="0.3">
      <c r="A540">
        <v>4</v>
      </c>
      <c r="B540">
        <f>COUNTIFS($A$2:A540,A540,$C$2:C540,"conf_1")</f>
        <v>6</v>
      </c>
      <c r="C540" t="s">
        <v>21</v>
      </c>
      <c r="D540">
        <v>0.112</v>
      </c>
    </row>
    <row r="541" spans="1:4" x14ac:dyDescent="0.3">
      <c r="A541">
        <v>4</v>
      </c>
      <c r="B541">
        <f>COUNTIFS($A$2:A541,A541,$C$2:C541,"conf_1")</f>
        <v>6</v>
      </c>
      <c r="C541" t="s">
        <v>22</v>
      </c>
      <c r="D541">
        <v>0.16900000000000001</v>
      </c>
    </row>
    <row r="542" spans="1:4" x14ac:dyDescent="0.3">
      <c r="A542">
        <v>4</v>
      </c>
      <c r="B542">
        <f>COUNTIFS($A$2:A542,A542,$C$2:C542,"conf_1")</f>
        <v>7</v>
      </c>
      <c r="C542" t="s">
        <v>3</v>
      </c>
      <c r="D542">
        <v>0.65800000000000003</v>
      </c>
    </row>
    <row r="543" spans="1:4" x14ac:dyDescent="0.3">
      <c r="A543">
        <v>4</v>
      </c>
      <c r="B543">
        <f>COUNTIFS($A$2:A543,A543,$C$2:C543,"conf_1")</f>
        <v>7</v>
      </c>
      <c r="C543" t="s">
        <v>4</v>
      </c>
      <c r="D543">
        <v>0.61799999999999999</v>
      </c>
    </row>
    <row r="544" spans="1:4" x14ac:dyDescent="0.3">
      <c r="A544">
        <v>4</v>
      </c>
      <c r="B544">
        <f>COUNTIFS($A$2:A544,A544,$C$2:C544,"conf_1")</f>
        <v>7</v>
      </c>
      <c r="C544" t="s">
        <v>5</v>
      </c>
      <c r="D544">
        <v>0.622</v>
      </c>
    </row>
    <row r="545" spans="1:4" x14ac:dyDescent="0.3">
      <c r="A545">
        <v>4</v>
      </c>
      <c r="B545">
        <f>COUNTIFS($A$2:A545,A545,$C$2:C545,"conf_1")</f>
        <v>7</v>
      </c>
      <c r="C545" t="s">
        <v>6</v>
      </c>
      <c r="D545">
        <v>0.61399999999999999</v>
      </c>
    </row>
    <row r="546" spans="1:4" x14ac:dyDescent="0.3">
      <c r="A546">
        <v>4</v>
      </c>
      <c r="B546">
        <f>COUNTIFS($A$2:A546,A546,$C$2:C546,"conf_1")</f>
        <v>7</v>
      </c>
      <c r="C546" t="s">
        <v>7</v>
      </c>
      <c r="D546">
        <v>0.626</v>
      </c>
    </row>
    <row r="547" spans="1:4" x14ac:dyDescent="0.3">
      <c r="A547">
        <v>4</v>
      </c>
      <c r="B547">
        <f>COUNTIFS($A$2:A547,A547,$C$2:C547,"conf_1")</f>
        <v>7</v>
      </c>
      <c r="C547" t="s">
        <v>8</v>
      </c>
      <c r="D547">
        <v>0.623</v>
      </c>
    </row>
    <row r="548" spans="1:4" x14ac:dyDescent="0.3">
      <c r="A548">
        <v>4</v>
      </c>
      <c r="B548">
        <f>COUNTIFS($A$2:A548,A548,$C$2:C548,"conf_1")</f>
        <v>7</v>
      </c>
      <c r="C548" t="s">
        <v>9</v>
      </c>
      <c r="D548">
        <v>0.09</v>
      </c>
    </row>
    <row r="549" spans="1:4" x14ac:dyDescent="0.3">
      <c r="A549">
        <v>4</v>
      </c>
      <c r="B549">
        <f>COUNTIFS($A$2:A549,A549,$C$2:C549,"conf_1")</f>
        <v>7</v>
      </c>
      <c r="C549" t="s">
        <v>10</v>
      </c>
      <c r="D549">
        <v>0.65400000000000003</v>
      </c>
    </row>
    <row r="550" spans="1:4" x14ac:dyDescent="0.3">
      <c r="A550">
        <v>4</v>
      </c>
      <c r="B550">
        <f>COUNTIFS($A$2:A550,A550,$C$2:C550,"conf_1")</f>
        <v>7</v>
      </c>
      <c r="C550" t="s">
        <v>11</v>
      </c>
      <c r="D550">
        <v>0.621</v>
      </c>
    </row>
    <row r="551" spans="1:4" x14ac:dyDescent="0.3">
      <c r="A551">
        <v>4</v>
      </c>
      <c r="B551">
        <f>COUNTIFS($A$2:A551,A551,$C$2:C551,"conf_1")</f>
        <v>7</v>
      </c>
      <c r="C551" t="s">
        <v>12</v>
      </c>
      <c r="D551">
        <v>0.65500000000000003</v>
      </c>
    </row>
    <row r="552" spans="1:4" x14ac:dyDescent="0.3">
      <c r="A552">
        <v>4</v>
      </c>
      <c r="B552">
        <f>COUNTIFS($A$2:A552,A552,$C$2:C552,"conf_1")</f>
        <v>7</v>
      </c>
      <c r="C552" t="s">
        <v>13</v>
      </c>
      <c r="D552">
        <v>0.64400000000000002</v>
      </c>
    </row>
    <row r="553" spans="1:4" x14ac:dyDescent="0.3">
      <c r="A553">
        <v>4</v>
      </c>
      <c r="B553">
        <f>COUNTIFS($A$2:A553,A553,$C$2:C553,"conf_1")</f>
        <v>7</v>
      </c>
      <c r="C553" t="s">
        <v>14</v>
      </c>
      <c r="D553">
        <v>0.14199999999999999</v>
      </c>
    </row>
    <row r="554" spans="1:4" x14ac:dyDescent="0.3">
      <c r="A554">
        <v>4</v>
      </c>
      <c r="B554">
        <f>COUNTIFS($A$2:A554,A554,$C$2:C554,"conf_1")</f>
        <v>7</v>
      </c>
      <c r="C554" t="s">
        <v>15</v>
      </c>
      <c r="D554">
        <v>0.66900000000000004</v>
      </c>
    </row>
    <row r="555" spans="1:4" x14ac:dyDescent="0.3">
      <c r="A555">
        <v>4</v>
      </c>
      <c r="B555">
        <f>COUNTIFS($A$2:A555,A555,$C$2:C555,"conf_1")</f>
        <v>7</v>
      </c>
      <c r="C555" t="s">
        <v>16</v>
      </c>
      <c r="D555">
        <v>9.5000000000000001E-2</v>
      </c>
    </row>
    <row r="556" spans="1:4" x14ac:dyDescent="0.3">
      <c r="A556">
        <v>4</v>
      </c>
      <c r="B556">
        <f>COUNTIFS($A$2:A556,A556,$C$2:C556,"conf_1")</f>
        <v>7</v>
      </c>
      <c r="C556" t="s">
        <v>17</v>
      </c>
      <c r="D556">
        <v>9.8000000000000004E-2</v>
      </c>
    </row>
    <row r="557" spans="1:4" x14ac:dyDescent="0.3">
      <c r="A557">
        <v>4</v>
      </c>
      <c r="B557">
        <f>COUNTIFS($A$2:A557,A557,$C$2:C557,"conf_1")</f>
        <v>7</v>
      </c>
      <c r="C557" t="s">
        <v>18</v>
      </c>
      <c r="D557">
        <v>0.22900000000000001</v>
      </c>
    </row>
    <row r="558" spans="1:4" x14ac:dyDescent="0.3">
      <c r="A558">
        <v>4</v>
      </c>
      <c r="B558">
        <f>COUNTIFS($A$2:A558,A558,$C$2:C558,"conf_1")</f>
        <v>7</v>
      </c>
      <c r="C558" t="s">
        <v>19</v>
      </c>
      <c r="D558">
        <v>0.63400000000000001</v>
      </c>
    </row>
    <row r="559" spans="1:4" x14ac:dyDescent="0.3">
      <c r="A559">
        <v>4</v>
      </c>
      <c r="B559">
        <f>COUNTIFS($A$2:A559,A559,$C$2:C559,"conf_1")</f>
        <v>7</v>
      </c>
      <c r="C559" t="s">
        <v>20</v>
      </c>
      <c r="D559">
        <v>0.64900000000000002</v>
      </c>
    </row>
    <row r="560" spans="1:4" x14ac:dyDescent="0.3">
      <c r="A560">
        <v>4</v>
      </c>
      <c r="B560">
        <f>COUNTIFS($A$2:A560,A560,$C$2:C560,"conf_1")</f>
        <v>7</v>
      </c>
      <c r="C560" t="s">
        <v>21</v>
      </c>
      <c r="D560">
        <v>0.23499999999999999</v>
      </c>
    </row>
    <row r="561" spans="1:4" x14ac:dyDescent="0.3">
      <c r="A561">
        <v>4</v>
      </c>
      <c r="B561">
        <f>COUNTIFS($A$2:A561,A561,$C$2:C561,"conf_1")</f>
        <v>7</v>
      </c>
      <c r="C561" t="s">
        <v>22</v>
      </c>
      <c r="D561">
        <v>0.19400000000000001</v>
      </c>
    </row>
    <row r="562" spans="1:4" x14ac:dyDescent="0.3">
      <c r="A562">
        <v>4</v>
      </c>
      <c r="B562">
        <f>COUNTIFS($A$2:A562,A562,$C$2:C562,"conf_1")</f>
        <v>8</v>
      </c>
      <c r="C562" t="s">
        <v>3</v>
      </c>
      <c r="D562">
        <v>0.66900000000000004</v>
      </c>
    </row>
    <row r="563" spans="1:4" x14ac:dyDescent="0.3">
      <c r="A563">
        <v>4</v>
      </c>
      <c r="B563">
        <f>COUNTIFS($A$2:A563,A563,$C$2:C563,"conf_1")</f>
        <v>8</v>
      </c>
      <c r="C563" t="s">
        <v>4</v>
      </c>
      <c r="D563">
        <v>0.622</v>
      </c>
    </row>
    <row r="564" spans="1:4" x14ac:dyDescent="0.3">
      <c r="A564">
        <v>4</v>
      </c>
      <c r="B564">
        <f>COUNTIFS($A$2:A564,A564,$C$2:C564,"conf_1")</f>
        <v>8</v>
      </c>
      <c r="C564" t="s">
        <v>5</v>
      </c>
      <c r="D564">
        <v>0.627</v>
      </c>
    </row>
    <row r="565" spans="1:4" x14ac:dyDescent="0.3">
      <c r="A565">
        <v>4</v>
      </c>
      <c r="B565">
        <f>COUNTIFS($A$2:A565,A565,$C$2:C565,"conf_1")</f>
        <v>8</v>
      </c>
      <c r="C565" t="s">
        <v>6</v>
      </c>
      <c r="D565">
        <v>0.61699999999999999</v>
      </c>
    </row>
    <row r="566" spans="1:4" x14ac:dyDescent="0.3">
      <c r="A566">
        <v>4</v>
      </c>
      <c r="B566">
        <f>COUNTIFS($A$2:A566,A566,$C$2:C566,"conf_1")</f>
        <v>8</v>
      </c>
      <c r="C566" t="s">
        <v>7</v>
      </c>
      <c r="D566">
        <v>0.63300000000000001</v>
      </c>
    </row>
    <row r="567" spans="1:4" x14ac:dyDescent="0.3">
      <c r="A567">
        <v>4</v>
      </c>
      <c r="B567">
        <f>COUNTIFS($A$2:A567,A567,$C$2:C567,"conf_1")</f>
        <v>8</v>
      </c>
      <c r="C567" t="s">
        <v>8</v>
      </c>
      <c r="D567">
        <v>0.624</v>
      </c>
    </row>
    <row r="568" spans="1:4" x14ac:dyDescent="0.3">
      <c r="A568">
        <v>4</v>
      </c>
      <c r="B568">
        <f>COUNTIFS($A$2:A568,A568,$C$2:C568,"conf_1")</f>
        <v>8</v>
      </c>
      <c r="C568" t="s">
        <v>9</v>
      </c>
      <c r="D568">
        <v>0.112</v>
      </c>
    </row>
    <row r="569" spans="1:4" x14ac:dyDescent="0.3">
      <c r="A569">
        <v>4</v>
      </c>
      <c r="B569">
        <f>COUNTIFS($A$2:A569,A569,$C$2:C569,"conf_1")</f>
        <v>8</v>
      </c>
      <c r="C569" t="s">
        <v>10</v>
      </c>
      <c r="D569">
        <v>0.66500000000000004</v>
      </c>
    </row>
    <row r="570" spans="1:4" x14ac:dyDescent="0.3">
      <c r="A570">
        <v>4</v>
      </c>
      <c r="B570">
        <f>COUNTIFS($A$2:A570,A570,$C$2:C570,"conf_1")</f>
        <v>8</v>
      </c>
      <c r="C570" t="s">
        <v>11</v>
      </c>
      <c r="D570">
        <v>0.626</v>
      </c>
    </row>
    <row r="571" spans="1:4" x14ac:dyDescent="0.3">
      <c r="A571">
        <v>4</v>
      </c>
      <c r="B571">
        <f>COUNTIFS($A$2:A571,A571,$C$2:C571,"conf_1")</f>
        <v>8</v>
      </c>
      <c r="C571" t="s">
        <v>12</v>
      </c>
      <c r="D571">
        <v>0.66600000000000004</v>
      </c>
    </row>
    <row r="572" spans="1:4" x14ac:dyDescent="0.3">
      <c r="A572">
        <v>4</v>
      </c>
      <c r="B572">
        <f>COUNTIFS($A$2:A572,A572,$C$2:C572,"conf_1")</f>
        <v>8</v>
      </c>
      <c r="C572" t="s">
        <v>13</v>
      </c>
      <c r="D572">
        <v>0.65400000000000003</v>
      </c>
    </row>
    <row r="573" spans="1:4" x14ac:dyDescent="0.3">
      <c r="A573">
        <v>4</v>
      </c>
      <c r="B573">
        <f>COUNTIFS($A$2:A573,A573,$C$2:C573,"conf_1")</f>
        <v>8</v>
      </c>
      <c r="C573" t="s">
        <v>14</v>
      </c>
      <c r="D573">
        <v>0.129</v>
      </c>
    </row>
    <row r="574" spans="1:4" x14ac:dyDescent="0.3">
      <c r="A574">
        <v>4</v>
      </c>
      <c r="B574">
        <f>COUNTIFS($A$2:A574,A574,$C$2:C574,"conf_1")</f>
        <v>8</v>
      </c>
      <c r="C574" t="s">
        <v>15</v>
      </c>
      <c r="D574">
        <v>0.68</v>
      </c>
    </row>
    <row r="575" spans="1:4" x14ac:dyDescent="0.3">
      <c r="A575">
        <v>4</v>
      </c>
      <c r="B575">
        <f>COUNTIFS($A$2:A575,A575,$C$2:C575,"conf_1")</f>
        <v>8</v>
      </c>
      <c r="C575" t="s">
        <v>16</v>
      </c>
      <c r="D575">
        <v>9.4E-2</v>
      </c>
    </row>
    <row r="576" spans="1:4" x14ac:dyDescent="0.3">
      <c r="A576">
        <v>4</v>
      </c>
      <c r="B576">
        <f>COUNTIFS($A$2:A576,A576,$C$2:C576,"conf_1")</f>
        <v>8</v>
      </c>
      <c r="C576" t="s">
        <v>17</v>
      </c>
      <c r="D576">
        <v>0.107</v>
      </c>
    </row>
    <row r="577" spans="1:4" x14ac:dyDescent="0.3">
      <c r="A577">
        <v>4</v>
      </c>
      <c r="B577">
        <f>COUNTIFS($A$2:A577,A577,$C$2:C577,"conf_1")</f>
        <v>8</v>
      </c>
      <c r="C577" t="s">
        <v>18</v>
      </c>
      <c r="D577">
        <v>0.21099999999999999</v>
      </c>
    </row>
    <row r="578" spans="1:4" x14ac:dyDescent="0.3">
      <c r="A578">
        <v>4</v>
      </c>
      <c r="B578">
        <f>COUNTIFS($A$2:A578,A578,$C$2:C578,"conf_1")</f>
        <v>8</v>
      </c>
      <c r="C578" t="s">
        <v>19</v>
      </c>
      <c r="D578">
        <v>0.64300000000000002</v>
      </c>
    </row>
    <row r="579" spans="1:4" x14ac:dyDescent="0.3">
      <c r="A579">
        <v>4</v>
      </c>
      <c r="B579">
        <f>COUNTIFS($A$2:A579,A579,$C$2:C579,"conf_1")</f>
        <v>8</v>
      </c>
      <c r="C579" t="s">
        <v>20</v>
      </c>
      <c r="D579">
        <v>0.65900000000000003</v>
      </c>
    </row>
    <row r="580" spans="1:4" x14ac:dyDescent="0.3">
      <c r="A580">
        <v>4</v>
      </c>
      <c r="B580">
        <f>COUNTIFS($A$2:A580,A580,$C$2:C580,"conf_1")</f>
        <v>8</v>
      </c>
      <c r="C580" t="s">
        <v>21</v>
      </c>
      <c r="D580">
        <v>0.214</v>
      </c>
    </row>
    <row r="581" spans="1:4" x14ac:dyDescent="0.3">
      <c r="A581">
        <v>4</v>
      </c>
      <c r="B581">
        <f>COUNTIFS($A$2:A581,A581,$C$2:C581,"conf_1")</f>
        <v>8</v>
      </c>
      <c r="C581" t="s">
        <v>22</v>
      </c>
      <c r="D581">
        <v>0.18099999999999999</v>
      </c>
    </row>
    <row r="582" spans="1:4" x14ac:dyDescent="0.3">
      <c r="A582">
        <v>4</v>
      </c>
      <c r="B582">
        <f>COUNTIFS($A$2:A582,A582,$C$2:C582,"conf_1")</f>
        <v>9</v>
      </c>
      <c r="C582" t="s">
        <v>3</v>
      </c>
      <c r="D582">
        <v>0.65900000000000003</v>
      </c>
    </row>
    <row r="583" spans="1:4" x14ac:dyDescent="0.3">
      <c r="A583">
        <v>4</v>
      </c>
      <c r="B583">
        <f>COUNTIFS($A$2:A583,A583,$C$2:C583,"conf_1")</f>
        <v>9</v>
      </c>
      <c r="C583" t="s">
        <v>4</v>
      </c>
      <c r="D583">
        <v>0.61899999999999999</v>
      </c>
    </row>
    <row r="584" spans="1:4" x14ac:dyDescent="0.3">
      <c r="A584">
        <v>4</v>
      </c>
      <c r="B584">
        <f>COUNTIFS($A$2:A584,A584,$C$2:C584,"conf_1")</f>
        <v>9</v>
      </c>
      <c r="C584" t="s">
        <v>5</v>
      </c>
      <c r="D584">
        <v>0.622</v>
      </c>
    </row>
    <row r="585" spans="1:4" x14ac:dyDescent="0.3">
      <c r="A585">
        <v>4</v>
      </c>
      <c r="B585">
        <f>COUNTIFS($A$2:A585,A585,$C$2:C585,"conf_1")</f>
        <v>9</v>
      </c>
      <c r="C585" t="s">
        <v>6</v>
      </c>
      <c r="D585">
        <v>0.61399999999999999</v>
      </c>
    </row>
    <row r="586" spans="1:4" x14ac:dyDescent="0.3">
      <c r="A586">
        <v>4</v>
      </c>
      <c r="B586">
        <f>COUNTIFS($A$2:A586,A586,$C$2:C586,"conf_1")</f>
        <v>9</v>
      </c>
      <c r="C586" t="s">
        <v>7</v>
      </c>
      <c r="D586">
        <v>0.627</v>
      </c>
    </row>
    <row r="587" spans="1:4" x14ac:dyDescent="0.3">
      <c r="A587">
        <v>4</v>
      </c>
      <c r="B587">
        <f>COUNTIFS($A$2:A587,A587,$C$2:C587,"conf_1")</f>
        <v>9</v>
      </c>
      <c r="C587" t="s">
        <v>8</v>
      </c>
      <c r="D587">
        <v>0.623</v>
      </c>
    </row>
    <row r="588" spans="1:4" x14ac:dyDescent="0.3">
      <c r="A588">
        <v>4</v>
      </c>
      <c r="B588">
        <f>COUNTIFS($A$2:A588,A588,$C$2:C588,"conf_1")</f>
        <v>9</v>
      </c>
      <c r="C588" t="s">
        <v>9</v>
      </c>
      <c r="D588">
        <v>8.8999999999999996E-2</v>
      </c>
    </row>
    <row r="589" spans="1:4" x14ac:dyDescent="0.3">
      <c r="A589">
        <v>4</v>
      </c>
      <c r="B589">
        <f>COUNTIFS($A$2:A589,A589,$C$2:C589,"conf_1")</f>
        <v>9</v>
      </c>
      <c r="C589" t="s">
        <v>10</v>
      </c>
      <c r="D589">
        <v>0.65500000000000003</v>
      </c>
    </row>
    <row r="590" spans="1:4" x14ac:dyDescent="0.3">
      <c r="A590">
        <v>4</v>
      </c>
      <c r="B590">
        <f>COUNTIFS($A$2:A590,A590,$C$2:C590,"conf_1")</f>
        <v>9</v>
      </c>
      <c r="C590" t="s">
        <v>11</v>
      </c>
      <c r="D590">
        <v>0.622</v>
      </c>
    </row>
    <row r="591" spans="1:4" x14ac:dyDescent="0.3">
      <c r="A591">
        <v>4</v>
      </c>
      <c r="B591">
        <f>COUNTIFS($A$2:A591,A591,$C$2:C591,"conf_1")</f>
        <v>9</v>
      </c>
      <c r="C591" t="s">
        <v>12</v>
      </c>
      <c r="D591">
        <v>0.65600000000000003</v>
      </c>
    </row>
    <row r="592" spans="1:4" x14ac:dyDescent="0.3">
      <c r="A592">
        <v>4</v>
      </c>
      <c r="B592">
        <f>COUNTIFS($A$2:A592,A592,$C$2:C592,"conf_1")</f>
        <v>9</v>
      </c>
      <c r="C592" t="s">
        <v>13</v>
      </c>
      <c r="D592">
        <v>0.64500000000000002</v>
      </c>
    </row>
    <row r="593" spans="1:4" x14ac:dyDescent="0.3">
      <c r="A593">
        <v>4</v>
      </c>
      <c r="B593">
        <f>COUNTIFS($A$2:A593,A593,$C$2:C593,"conf_1")</f>
        <v>9</v>
      </c>
      <c r="C593" t="s">
        <v>14</v>
      </c>
      <c r="D593">
        <v>0.14299999999999999</v>
      </c>
    </row>
    <row r="594" spans="1:4" x14ac:dyDescent="0.3">
      <c r="A594">
        <v>4</v>
      </c>
      <c r="B594">
        <f>COUNTIFS($A$2:A594,A594,$C$2:C594,"conf_1")</f>
        <v>9</v>
      </c>
      <c r="C594" t="s">
        <v>15</v>
      </c>
      <c r="D594">
        <v>0.66900000000000004</v>
      </c>
    </row>
    <row r="595" spans="1:4" x14ac:dyDescent="0.3">
      <c r="A595">
        <v>4</v>
      </c>
      <c r="B595">
        <f>COUNTIFS($A$2:A595,A595,$C$2:C595,"conf_1")</f>
        <v>9</v>
      </c>
      <c r="C595" t="s">
        <v>16</v>
      </c>
      <c r="D595">
        <v>9.5000000000000001E-2</v>
      </c>
    </row>
    <row r="596" spans="1:4" x14ac:dyDescent="0.3">
      <c r="A596">
        <v>4</v>
      </c>
      <c r="B596">
        <f>COUNTIFS($A$2:A596,A596,$C$2:C596,"conf_1")</f>
        <v>9</v>
      </c>
      <c r="C596" t="s">
        <v>17</v>
      </c>
      <c r="D596">
        <v>9.7000000000000003E-2</v>
      </c>
    </row>
    <row r="597" spans="1:4" x14ac:dyDescent="0.3">
      <c r="A597">
        <v>4</v>
      </c>
      <c r="B597">
        <f>COUNTIFS($A$2:A597,A597,$C$2:C597,"conf_1")</f>
        <v>9</v>
      </c>
      <c r="C597" t="s">
        <v>18</v>
      </c>
      <c r="D597">
        <v>0.23</v>
      </c>
    </row>
    <row r="598" spans="1:4" x14ac:dyDescent="0.3">
      <c r="A598">
        <v>4</v>
      </c>
      <c r="B598">
        <f>COUNTIFS($A$2:A598,A598,$C$2:C598,"conf_1")</f>
        <v>9</v>
      </c>
      <c r="C598" t="s">
        <v>19</v>
      </c>
      <c r="D598">
        <v>0.63400000000000001</v>
      </c>
    </row>
    <row r="599" spans="1:4" x14ac:dyDescent="0.3">
      <c r="A599">
        <v>4</v>
      </c>
      <c r="B599">
        <f>COUNTIFS($A$2:A599,A599,$C$2:C599,"conf_1")</f>
        <v>9</v>
      </c>
      <c r="C599" t="s">
        <v>20</v>
      </c>
      <c r="D599">
        <v>0.64900000000000002</v>
      </c>
    </row>
    <row r="600" spans="1:4" x14ac:dyDescent="0.3">
      <c r="A600">
        <v>4</v>
      </c>
      <c r="B600">
        <f>COUNTIFS($A$2:A600,A600,$C$2:C600,"conf_1")</f>
        <v>9</v>
      </c>
      <c r="C600" t="s">
        <v>21</v>
      </c>
      <c r="D600">
        <v>0.23599999999999999</v>
      </c>
    </row>
    <row r="601" spans="1:4" x14ac:dyDescent="0.3">
      <c r="A601">
        <v>4</v>
      </c>
      <c r="B601">
        <f>COUNTIFS($A$2:A601,A601,$C$2:C601,"conf_1")</f>
        <v>9</v>
      </c>
      <c r="C601" t="s">
        <v>22</v>
      </c>
      <c r="D601">
        <v>0.19500000000000001</v>
      </c>
    </row>
    <row r="602" spans="1:4" x14ac:dyDescent="0.3">
      <c r="A602">
        <v>4</v>
      </c>
      <c r="B602">
        <f>COUNTIFS($A$2:A602,A602,$C$2:C602,"conf_1")</f>
        <v>10</v>
      </c>
      <c r="C602" t="s">
        <v>3</v>
      </c>
      <c r="D602">
        <v>0.67800000000000005</v>
      </c>
    </row>
    <row r="603" spans="1:4" x14ac:dyDescent="0.3">
      <c r="A603">
        <v>4</v>
      </c>
      <c r="B603">
        <f>COUNTIFS($A$2:A603,A603,$C$2:C603,"conf_1")</f>
        <v>10</v>
      </c>
      <c r="C603" t="s">
        <v>4</v>
      </c>
      <c r="D603">
        <v>0.625</v>
      </c>
    </row>
    <row r="604" spans="1:4" x14ac:dyDescent="0.3">
      <c r="A604">
        <v>4</v>
      </c>
      <c r="B604">
        <f>COUNTIFS($A$2:A604,A604,$C$2:C604,"conf_1")</f>
        <v>10</v>
      </c>
      <c r="C604" t="s">
        <v>5</v>
      </c>
      <c r="D604">
        <v>0.63200000000000001</v>
      </c>
    </row>
    <row r="605" spans="1:4" x14ac:dyDescent="0.3">
      <c r="A605">
        <v>4</v>
      </c>
      <c r="B605">
        <f>COUNTIFS($A$2:A605,A605,$C$2:C605,"conf_1")</f>
        <v>10</v>
      </c>
      <c r="C605" t="s">
        <v>6</v>
      </c>
      <c r="D605">
        <v>0.62</v>
      </c>
    </row>
    <row r="606" spans="1:4" x14ac:dyDescent="0.3">
      <c r="A606">
        <v>4</v>
      </c>
      <c r="B606">
        <f>COUNTIFS($A$2:A606,A606,$C$2:C606,"conf_1")</f>
        <v>10</v>
      </c>
      <c r="C606" t="s">
        <v>7</v>
      </c>
      <c r="D606">
        <v>0.63900000000000001</v>
      </c>
    </row>
    <row r="607" spans="1:4" x14ac:dyDescent="0.3">
      <c r="A607">
        <v>4</v>
      </c>
      <c r="B607">
        <f>COUNTIFS($A$2:A607,A607,$C$2:C607,"conf_1")</f>
        <v>10</v>
      </c>
      <c r="C607" t="s">
        <v>8</v>
      </c>
      <c r="D607">
        <v>0.626</v>
      </c>
    </row>
    <row r="608" spans="1:4" x14ac:dyDescent="0.3">
      <c r="A608">
        <v>4</v>
      </c>
      <c r="B608">
        <f>COUNTIFS($A$2:A608,A608,$C$2:C608,"conf_1")</f>
        <v>10</v>
      </c>
      <c r="C608" t="s">
        <v>9</v>
      </c>
      <c r="D608">
        <v>0.13100000000000001</v>
      </c>
    </row>
    <row r="609" spans="1:4" x14ac:dyDescent="0.3">
      <c r="A609">
        <v>4</v>
      </c>
      <c r="B609">
        <f>COUNTIFS($A$2:A609,A609,$C$2:C609,"conf_1")</f>
        <v>10</v>
      </c>
      <c r="C609" t="s">
        <v>10</v>
      </c>
      <c r="D609">
        <v>0.67500000000000004</v>
      </c>
    </row>
    <row r="610" spans="1:4" x14ac:dyDescent="0.3">
      <c r="A610">
        <v>4</v>
      </c>
      <c r="B610">
        <f>COUNTIFS($A$2:A610,A610,$C$2:C610,"conf_1")</f>
        <v>10</v>
      </c>
      <c r="C610" t="s">
        <v>11</v>
      </c>
      <c r="D610">
        <v>0.63100000000000001</v>
      </c>
    </row>
    <row r="611" spans="1:4" x14ac:dyDescent="0.3">
      <c r="A611">
        <v>4</v>
      </c>
      <c r="B611">
        <f>COUNTIFS($A$2:A611,A611,$C$2:C611,"conf_1")</f>
        <v>10</v>
      </c>
      <c r="C611" t="s">
        <v>12</v>
      </c>
      <c r="D611">
        <v>0.67600000000000005</v>
      </c>
    </row>
    <row r="612" spans="1:4" x14ac:dyDescent="0.3">
      <c r="A612">
        <v>4</v>
      </c>
      <c r="B612">
        <f>COUNTIFS($A$2:A612,A612,$C$2:C612,"conf_1")</f>
        <v>10</v>
      </c>
      <c r="C612" t="s">
        <v>13</v>
      </c>
      <c r="D612">
        <v>0.66200000000000003</v>
      </c>
    </row>
    <row r="613" spans="1:4" x14ac:dyDescent="0.3">
      <c r="A613">
        <v>4</v>
      </c>
      <c r="B613">
        <f>COUNTIFS($A$2:A613,A613,$C$2:C613,"conf_1")</f>
        <v>10</v>
      </c>
      <c r="C613" t="s">
        <v>14</v>
      </c>
      <c r="D613">
        <v>0.12</v>
      </c>
    </row>
    <row r="614" spans="1:4" x14ac:dyDescent="0.3">
      <c r="A614">
        <v>4</v>
      </c>
      <c r="B614">
        <f>COUNTIFS($A$2:A614,A614,$C$2:C614,"conf_1")</f>
        <v>10</v>
      </c>
      <c r="C614" t="s">
        <v>15</v>
      </c>
      <c r="D614">
        <v>0.68899999999999995</v>
      </c>
    </row>
    <row r="615" spans="1:4" x14ac:dyDescent="0.3">
      <c r="A615">
        <v>4</v>
      </c>
      <c r="B615">
        <f>COUNTIFS($A$2:A615,A615,$C$2:C615,"conf_1")</f>
        <v>10</v>
      </c>
      <c r="C615" t="s">
        <v>16</v>
      </c>
      <c r="D615">
        <v>9.6000000000000002E-2</v>
      </c>
    </row>
    <row r="616" spans="1:4" x14ac:dyDescent="0.3">
      <c r="A616">
        <v>4</v>
      </c>
      <c r="B616">
        <f>COUNTIFS($A$2:A616,A616,$C$2:C616,"conf_1")</f>
        <v>10</v>
      </c>
      <c r="C616" t="s">
        <v>17</v>
      </c>
      <c r="D616">
        <v>0.11600000000000001</v>
      </c>
    </row>
    <row r="617" spans="1:4" x14ac:dyDescent="0.3">
      <c r="A617">
        <v>4</v>
      </c>
      <c r="B617">
        <f>COUNTIFS($A$2:A617,A617,$C$2:C617,"conf_1")</f>
        <v>10</v>
      </c>
      <c r="C617" t="s">
        <v>18</v>
      </c>
      <c r="D617">
        <v>0.19400000000000001</v>
      </c>
    </row>
    <row r="618" spans="1:4" x14ac:dyDescent="0.3">
      <c r="A618">
        <v>4</v>
      </c>
      <c r="B618">
        <f>COUNTIFS($A$2:A618,A618,$C$2:C618,"conf_1")</f>
        <v>10</v>
      </c>
      <c r="C618" t="s">
        <v>19</v>
      </c>
      <c r="D618">
        <v>0.65</v>
      </c>
    </row>
    <row r="619" spans="1:4" x14ac:dyDescent="0.3">
      <c r="A619">
        <v>4</v>
      </c>
      <c r="B619">
        <f>COUNTIFS($A$2:A619,A619,$C$2:C619,"conf_1")</f>
        <v>10</v>
      </c>
      <c r="C619" t="s">
        <v>20</v>
      </c>
      <c r="D619">
        <v>0.66900000000000004</v>
      </c>
    </row>
    <row r="620" spans="1:4" x14ac:dyDescent="0.3">
      <c r="A620">
        <v>4</v>
      </c>
      <c r="B620">
        <f>COUNTIFS($A$2:A620,A620,$C$2:C620,"conf_1")</f>
        <v>10</v>
      </c>
      <c r="C620" t="s">
        <v>21</v>
      </c>
      <c r="D620">
        <v>0.19600000000000001</v>
      </c>
    </row>
    <row r="621" spans="1:4" x14ac:dyDescent="0.3">
      <c r="A621">
        <v>4</v>
      </c>
      <c r="B621">
        <f>COUNTIFS($A$2:A621,A621,$C$2:C621,"conf_1")</f>
        <v>10</v>
      </c>
      <c r="C621" t="s">
        <v>22</v>
      </c>
      <c r="D621">
        <v>0.17</v>
      </c>
    </row>
    <row r="622" spans="1:4" x14ac:dyDescent="0.3">
      <c r="A622">
        <v>4</v>
      </c>
      <c r="B622">
        <f>COUNTIFS($A$2:A622,A622,$C$2:C622,"conf_1")</f>
        <v>11</v>
      </c>
      <c r="C622" t="s">
        <v>3</v>
      </c>
      <c r="D622">
        <v>0.69599999999999995</v>
      </c>
    </row>
    <row r="623" spans="1:4" x14ac:dyDescent="0.3">
      <c r="A623">
        <v>4</v>
      </c>
      <c r="B623">
        <f>COUNTIFS($A$2:A623,A623,$C$2:C623,"conf_1")</f>
        <v>11</v>
      </c>
      <c r="C623" t="s">
        <v>4</v>
      </c>
      <c r="D623">
        <v>0.63200000000000001</v>
      </c>
    </row>
    <row r="624" spans="1:4" x14ac:dyDescent="0.3">
      <c r="A624">
        <v>4</v>
      </c>
      <c r="B624">
        <f>COUNTIFS($A$2:A624,A624,$C$2:C624,"conf_1")</f>
        <v>11</v>
      </c>
      <c r="C624" t="s">
        <v>5</v>
      </c>
      <c r="D624">
        <v>0.64100000000000001</v>
      </c>
    </row>
    <row r="625" spans="1:4" x14ac:dyDescent="0.3">
      <c r="A625">
        <v>4</v>
      </c>
      <c r="B625">
        <f>COUNTIFS($A$2:A625,A625,$C$2:C625,"conf_1")</f>
        <v>11</v>
      </c>
      <c r="C625" t="s">
        <v>6</v>
      </c>
      <c r="D625">
        <v>0.627</v>
      </c>
    </row>
    <row r="626" spans="1:4" x14ac:dyDescent="0.3">
      <c r="A626">
        <v>4</v>
      </c>
      <c r="B626">
        <f>COUNTIFS($A$2:A626,A626,$C$2:C626,"conf_1")</f>
        <v>11</v>
      </c>
      <c r="C626" t="s">
        <v>7</v>
      </c>
      <c r="D626">
        <v>0.65300000000000002</v>
      </c>
    </row>
    <row r="627" spans="1:4" x14ac:dyDescent="0.3">
      <c r="A627">
        <v>4</v>
      </c>
      <c r="B627">
        <f>COUNTIFS($A$2:A627,A627,$C$2:C627,"conf_1")</f>
        <v>11</v>
      </c>
      <c r="C627" t="s">
        <v>8</v>
      </c>
      <c r="D627">
        <v>0.627</v>
      </c>
    </row>
    <row r="628" spans="1:4" x14ac:dyDescent="0.3">
      <c r="A628">
        <v>4</v>
      </c>
      <c r="B628">
        <f>COUNTIFS($A$2:A628,A628,$C$2:C628,"conf_1")</f>
        <v>11</v>
      </c>
      <c r="C628" t="s">
        <v>9</v>
      </c>
      <c r="D628">
        <v>0.17399999999999999</v>
      </c>
    </row>
    <row r="629" spans="1:4" x14ac:dyDescent="0.3">
      <c r="A629">
        <v>4</v>
      </c>
      <c r="B629">
        <f>COUNTIFS($A$2:A629,A629,$C$2:C629,"conf_1")</f>
        <v>11</v>
      </c>
      <c r="C629" t="s">
        <v>10</v>
      </c>
      <c r="D629">
        <v>0.69499999999999995</v>
      </c>
    </row>
    <row r="630" spans="1:4" x14ac:dyDescent="0.3">
      <c r="A630">
        <v>4</v>
      </c>
      <c r="B630">
        <f>COUNTIFS($A$2:A630,A630,$C$2:C630,"conf_1")</f>
        <v>11</v>
      </c>
      <c r="C630" t="s">
        <v>11</v>
      </c>
      <c r="D630">
        <v>0.63700000000000001</v>
      </c>
    </row>
    <row r="631" spans="1:4" x14ac:dyDescent="0.3">
      <c r="A631">
        <v>4</v>
      </c>
      <c r="B631">
        <f>COUNTIFS($A$2:A631,A631,$C$2:C631,"conf_1")</f>
        <v>11</v>
      </c>
      <c r="C631" t="s">
        <v>12</v>
      </c>
      <c r="D631">
        <v>0.69599999999999995</v>
      </c>
    </row>
    <row r="632" spans="1:4" x14ac:dyDescent="0.3">
      <c r="A632">
        <v>4</v>
      </c>
      <c r="B632">
        <f>COUNTIFS($A$2:A632,A632,$C$2:C632,"conf_1")</f>
        <v>11</v>
      </c>
      <c r="C632" t="s">
        <v>13</v>
      </c>
      <c r="D632">
        <v>0.67800000000000005</v>
      </c>
    </row>
    <row r="633" spans="1:4" x14ac:dyDescent="0.3">
      <c r="A633">
        <v>4</v>
      </c>
      <c r="B633">
        <f>COUNTIFS($A$2:A633,A633,$C$2:C633,"conf_1")</f>
        <v>11</v>
      </c>
      <c r="C633" t="s">
        <v>14</v>
      </c>
      <c r="D633">
        <v>0.105</v>
      </c>
    </row>
    <row r="634" spans="1:4" x14ac:dyDescent="0.3">
      <c r="A634">
        <v>4</v>
      </c>
      <c r="B634">
        <f>COUNTIFS($A$2:A634,A634,$C$2:C634,"conf_1")</f>
        <v>11</v>
      </c>
      <c r="C634" t="s">
        <v>15</v>
      </c>
      <c r="D634">
        <v>0.71</v>
      </c>
    </row>
    <row r="635" spans="1:4" x14ac:dyDescent="0.3">
      <c r="A635">
        <v>4</v>
      </c>
      <c r="B635">
        <f>COUNTIFS($A$2:A635,A635,$C$2:C635,"conf_1")</f>
        <v>11</v>
      </c>
      <c r="C635" t="s">
        <v>16</v>
      </c>
      <c r="D635">
        <v>7.0999999999999994E-2</v>
      </c>
    </row>
    <row r="636" spans="1:4" x14ac:dyDescent="0.3">
      <c r="A636">
        <v>4</v>
      </c>
      <c r="B636">
        <f>COUNTIFS($A$2:A636,A636,$C$2:C636,"conf_1")</f>
        <v>11</v>
      </c>
      <c r="C636" t="s">
        <v>17</v>
      </c>
      <c r="D636">
        <v>0.20699999999999999</v>
      </c>
    </row>
    <row r="637" spans="1:4" x14ac:dyDescent="0.3">
      <c r="A637">
        <v>4</v>
      </c>
      <c r="B637">
        <f>COUNTIFS($A$2:A637,A637,$C$2:C637,"conf_1")</f>
        <v>11</v>
      </c>
      <c r="C637" t="s">
        <v>18</v>
      </c>
      <c r="D637">
        <v>0.157</v>
      </c>
    </row>
    <row r="638" spans="1:4" x14ac:dyDescent="0.3">
      <c r="A638">
        <v>4</v>
      </c>
      <c r="B638">
        <f>COUNTIFS($A$2:A638,A638,$C$2:C638,"conf_1")</f>
        <v>11</v>
      </c>
      <c r="C638" t="s">
        <v>19</v>
      </c>
      <c r="D638">
        <v>0.66500000000000004</v>
      </c>
    </row>
    <row r="639" spans="1:4" x14ac:dyDescent="0.3">
      <c r="A639">
        <v>4</v>
      </c>
      <c r="B639">
        <f>COUNTIFS($A$2:A639,A639,$C$2:C639,"conf_1")</f>
        <v>11</v>
      </c>
      <c r="C639" t="s">
        <v>20</v>
      </c>
      <c r="D639">
        <v>0.68799999999999994</v>
      </c>
    </row>
    <row r="640" spans="1:4" x14ac:dyDescent="0.3">
      <c r="A640">
        <v>4</v>
      </c>
      <c r="B640">
        <f>COUNTIFS($A$2:A640,A640,$C$2:C640,"conf_1")</f>
        <v>11</v>
      </c>
      <c r="C640" t="s">
        <v>21</v>
      </c>
      <c r="D640">
        <v>0.16300000000000001</v>
      </c>
    </row>
    <row r="641" spans="1:4" x14ac:dyDescent="0.3">
      <c r="A641">
        <v>4</v>
      </c>
      <c r="B641">
        <f>COUNTIFS($A$2:A641,A641,$C$2:C641,"conf_1")</f>
        <v>11</v>
      </c>
      <c r="C641" t="s">
        <v>22</v>
      </c>
      <c r="D641">
        <v>0.13</v>
      </c>
    </row>
    <row r="642" spans="1:4" x14ac:dyDescent="0.3">
      <c r="A642">
        <v>4</v>
      </c>
      <c r="B642">
        <f>COUNTIFS($A$2:A642,A642,$C$2:C642,"conf_1")</f>
        <v>12</v>
      </c>
      <c r="C642" t="s">
        <v>3</v>
      </c>
      <c r="D642">
        <v>0.67400000000000004</v>
      </c>
    </row>
    <row r="643" spans="1:4" x14ac:dyDescent="0.3">
      <c r="A643">
        <v>4</v>
      </c>
      <c r="B643">
        <f>COUNTIFS($A$2:A643,A643,$C$2:C643,"conf_1")</f>
        <v>12</v>
      </c>
      <c r="C643" t="s">
        <v>4</v>
      </c>
      <c r="D643">
        <v>0.624</v>
      </c>
    </row>
    <row r="644" spans="1:4" x14ac:dyDescent="0.3">
      <c r="A644">
        <v>4</v>
      </c>
      <c r="B644">
        <f>COUNTIFS($A$2:A644,A644,$C$2:C644,"conf_1")</f>
        <v>12</v>
      </c>
      <c r="C644" t="s">
        <v>5</v>
      </c>
      <c r="D644">
        <v>0.629</v>
      </c>
    </row>
    <row r="645" spans="1:4" x14ac:dyDescent="0.3">
      <c r="A645">
        <v>4</v>
      </c>
      <c r="B645">
        <f>COUNTIFS($A$2:A645,A645,$C$2:C645,"conf_1")</f>
        <v>12</v>
      </c>
      <c r="C645" t="s">
        <v>6</v>
      </c>
      <c r="D645">
        <v>0.62</v>
      </c>
    </row>
    <row r="646" spans="1:4" x14ac:dyDescent="0.3">
      <c r="A646">
        <v>4</v>
      </c>
      <c r="B646">
        <f>COUNTIFS($A$2:A646,A646,$C$2:C646,"conf_1")</f>
        <v>12</v>
      </c>
      <c r="C646" t="s">
        <v>7</v>
      </c>
      <c r="D646">
        <v>0.63800000000000001</v>
      </c>
    </row>
    <row r="647" spans="1:4" x14ac:dyDescent="0.3">
      <c r="A647">
        <v>4</v>
      </c>
      <c r="B647">
        <f>COUNTIFS($A$2:A647,A647,$C$2:C647,"conf_1")</f>
        <v>12</v>
      </c>
      <c r="C647" t="s">
        <v>8</v>
      </c>
      <c r="D647">
        <v>0.623</v>
      </c>
    </row>
    <row r="648" spans="1:4" x14ac:dyDescent="0.3">
      <c r="A648">
        <v>4</v>
      </c>
      <c r="B648">
        <f>COUNTIFS($A$2:A648,A648,$C$2:C648,"conf_1")</f>
        <v>12</v>
      </c>
      <c r="C648" t="s">
        <v>9</v>
      </c>
      <c r="D648">
        <v>0.13600000000000001</v>
      </c>
    </row>
    <row r="649" spans="1:4" x14ac:dyDescent="0.3">
      <c r="A649">
        <v>4</v>
      </c>
      <c r="B649">
        <f>COUNTIFS($A$2:A649,A649,$C$2:C649,"conf_1")</f>
        <v>12</v>
      </c>
      <c r="C649" t="s">
        <v>10</v>
      </c>
      <c r="D649">
        <v>0.67300000000000004</v>
      </c>
    </row>
    <row r="650" spans="1:4" x14ac:dyDescent="0.3">
      <c r="A650">
        <v>4</v>
      </c>
      <c r="B650">
        <f>COUNTIFS($A$2:A650,A650,$C$2:C650,"conf_1")</f>
        <v>12</v>
      </c>
      <c r="C650" t="s">
        <v>11</v>
      </c>
      <c r="D650">
        <v>0.627</v>
      </c>
    </row>
    <row r="651" spans="1:4" x14ac:dyDescent="0.3">
      <c r="A651">
        <v>4</v>
      </c>
      <c r="B651">
        <f>COUNTIFS($A$2:A651,A651,$C$2:C651,"conf_1")</f>
        <v>12</v>
      </c>
      <c r="C651" t="s">
        <v>12</v>
      </c>
      <c r="D651">
        <v>0.67300000000000004</v>
      </c>
    </row>
    <row r="652" spans="1:4" x14ac:dyDescent="0.3">
      <c r="A652">
        <v>4</v>
      </c>
      <c r="B652">
        <f>COUNTIFS($A$2:A652,A652,$C$2:C652,"conf_1")</f>
        <v>12</v>
      </c>
      <c r="C652" t="s">
        <v>13</v>
      </c>
      <c r="D652">
        <v>0.65800000000000003</v>
      </c>
    </row>
    <row r="653" spans="1:4" x14ac:dyDescent="0.3">
      <c r="A653">
        <v>4</v>
      </c>
      <c r="B653">
        <f>COUNTIFS($A$2:A653,A653,$C$2:C653,"conf_1")</f>
        <v>12</v>
      </c>
      <c r="C653" t="s">
        <v>14</v>
      </c>
      <c r="D653">
        <v>0.13700000000000001</v>
      </c>
    </row>
    <row r="654" spans="1:4" x14ac:dyDescent="0.3">
      <c r="A654">
        <v>4</v>
      </c>
      <c r="B654">
        <f>COUNTIFS($A$2:A654,A654,$C$2:C654,"conf_1")</f>
        <v>12</v>
      </c>
      <c r="C654" t="s">
        <v>15</v>
      </c>
      <c r="D654">
        <v>0.68700000000000006</v>
      </c>
    </row>
    <row r="655" spans="1:4" x14ac:dyDescent="0.3">
      <c r="A655">
        <v>4</v>
      </c>
      <c r="B655">
        <f>COUNTIFS($A$2:A655,A655,$C$2:C655,"conf_1")</f>
        <v>12</v>
      </c>
      <c r="C655" t="s">
        <v>16</v>
      </c>
      <c r="D655">
        <v>0.10299999999999999</v>
      </c>
    </row>
    <row r="656" spans="1:4" x14ac:dyDescent="0.3">
      <c r="A656">
        <v>4</v>
      </c>
      <c r="B656">
        <f>COUNTIFS($A$2:A656,A656,$C$2:C656,"conf_1")</f>
        <v>12</v>
      </c>
      <c r="C656" t="s">
        <v>17</v>
      </c>
      <c r="D656">
        <v>0.11899999999999999</v>
      </c>
    </row>
    <row r="657" spans="1:4" x14ac:dyDescent="0.3">
      <c r="A657">
        <v>4</v>
      </c>
      <c r="B657">
        <f>COUNTIFS($A$2:A657,A657,$C$2:C657,"conf_1")</f>
        <v>12</v>
      </c>
      <c r="C657" t="s">
        <v>18</v>
      </c>
      <c r="D657">
        <v>0.20699999999999999</v>
      </c>
    </row>
    <row r="658" spans="1:4" x14ac:dyDescent="0.3">
      <c r="A658">
        <v>4</v>
      </c>
      <c r="B658">
        <f>COUNTIFS($A$2:A658,A658,$C$2:C658,"conf_1")</f>
        <v>12</v>
      </c>
      <c r="C658" t="s">
        <v>19</v>
      </c>
      <c r="D658">
        <v>0.64700000000000002</v>
      </c>
    </row>
    <row r="659" spans="1:4" x14ac:dyDescent="0.3">
      <c r="A659">
        <v>4</v>
      </c>
      <c r="B659">
        <f>COUNTIFS($A$2:A659,A659,$C$2:C659,"conf_1")</f>
        <v>12</v>
      </c>
      <c r="C659" t="s">
        <v>20</v>
      </c>
      <c r="D659">
        <v>0.66600000000000004</v>
      </c>
    </row>
    <row r="660" spans="1:4" x14ac:dyDescent="0.3">
      <c r="A660">
        <v>4</v>
      </c>
      <c r="B660">
        <f>COUNTIFS($A$2:A660,A660,$C$2:C660,"conf_1")</f>
        <v>12</v>
      </c>
      <c r="C660" t="s">
        <v>21</v>
      </c>
      <c r="D660">
        <v>0.21199999999999999</v>
      </c>
    </row>
    <row r="661" spans="1:4" x14ac:dyDescent="0.3">
      <c r="A661">
        <v>4</v>
      </c>
      <c r="B661">
        <f>COUNTIFS($A$2:A661,A661,$C$2:C661,"conf_1")</f>
        <v>12</v>
      </c>
      <c r="C661" t="s">
        <v>22</v>
      </c>
      <c r="D661">
        <v>0.17</v>
      </c>
    </row>
    <row r="662" spans="1:4" x14ac:dyDescent="0.3">
      <c r="A662">
        <v>5</v>
      </c>
      <c r="B662">
        <f>COUNTIFS($A$2:A662,A662,$C$2:C662,"conf_1")</f>
        <v>1</v>
      </c>
      <c r="C662" t="s">
        <v>3</v>
      </c>
      <c r="D662">
        <v>0.71699999999999997</v>
      </c>
    </row>
    <row r="663" spans="1:4" x14ac:dyDescent="0.3">
      <c r="A663">
        <v>5</v>
      </c>
      <c r="B663">
        <f>COUNTIFS($A$2:A663,A663,$C$2:C663,"conf_1")</f>
        <v>1</v>
      </c>
      <c r="C663" t="s">
        <v>4</v>
      </c>
      <c r="D663">
        <v>0.64500000000000002</v>
      </c>
    </row>
    <row r="664" spans="1:4" x14ac:dyDescent="0.3">
      <c r="A664">
        <v>5</v>
      </c>
      <c r="B664">
        <f>COUNTIFS($A$2:A664,A664,$C$2:C664,"conf_1")</f>
        <v>1</v>
      </c>
      <c r="C664" t="s">
        <v>5</v>
      </c>
      <c r="D664">
        <v>0.65700000000000003</v>
      </c>
    </row>
    <row r="665" spans="1:4" x14ac:dyDescent="0.3">
      <c r="A665">
        <v>5</v>
      </c>
      <c r="B665">
        <f>COUNTIFS($A$2:A665,A665,$C$2:C665,"conf_1")</f>
        <v>1</v>
      </c>
      <c r="C665" t="s">
        <v>6</v>
      </c>
      <c r="D665">
        <v>0.63900000000000001</v>
      </c>
    </row>
    <row r="666" spans="1:4" x14ac:dyDescent="0.3">
      <c r="A666">
        <v>5</v>
      </c>
      <c r="B666">
        <f>COUNTIFS($A$2:A666,A666,$C$2:C666,"conf_1")</f>
        <v>1</v>
      </c>
      <c r="C666" t="s">
        <v>7</v>
      </c>
      <c r="D666">
        <v>0.67100000000000004</v>
      </c>
    </row>
    <row r="667" spans="1:4" x14ac:dyDescent="0.3">
      <c r="A667">
        <v>5</v>
      </c>
      <c r="B667">
        <f>COUNTIFS($A$2:A667,A667,$C$2:C667,"conf_1")</f>
        <v>1</v>
      </c>
      <c r="C667" t="s">
        <v>8</v>
      </c>
      <c r="D667">
        <v>0.63500000000000001</v>
      </c>
    </row>
    <row r="668" spans="1:4" x14ac:dyDescent="0.3">
      <c r="A668">
        <v>5</v>
      </c>
      <c r="B668">
        <f>COUNTIFS($A$2:A668,A668,$C$2:C668,"conf_1")</f>
        <v>1</v>
      </c>
      <c r="C668" t="s">
        <v>9</v>
      </c>
      <c r="D668">
        <v>0.216</v>
      </c>
    </row>
    <row r="669" spans="1:4" x14ac:dyDescent="0.3">
      <c r="A669">
        <v>5</v>
      </c>
      <c r="B669">
        <f>COUNTIFS($A$2:A669,A669,$C$2:C669,"conf_1")</f>
        <v>1</v>
      </c>
      <c r="C669" t="s">
        <v>10</v>
      </c>
      <c r="D669">
        <v>0.71299999999999997</v>
      </c>
    </row>
    <row r="670" spans="1:4" x14ac:dyDescent="0.3">
      <c r="A670">
        <v>5</v>
      </c>
      <c r="B670">
        <f>COUNTIFS($A$2:A670,A670,$C$2:C670,"conf_1")</f>
        <v>1</v>
      </c>
      <c r="C670" t="s">
        <v>11</v>
      </c>
      <c r="D670">
        <v>0.65100000000000002</v>
      </c>
    </row>
    <row r="671" spans="1:4" x14ac:dyDescent="0.3">
      <c r="A671">
        <v>5</v>
      </c>
      <c r="B671">
        <f>COUNTIFS($A$2:A671,A671,$C$2:C671,"conf_1")</f>
        <v>1</v>
      </c>
      <c r="C671" t="s">
        <v>12</v>
      </c>
      <c r="D671">
        <v>0.71699999999999997</v>
      </c>
    </row>
    <row r="672" spans="1:4" x14ac:dyDescent="0.3">
      <c r="A672">
        <v>5</v>
      </c>
      <c r="B672">
        <f>COUNTIFS($A$2:A672,A672,$C$2:C672,"conf_1")</f>
        <v>1</v>
      </c>
      <c r="C672" t="s">
        <v>13</v>
      </c>
      <c r="D672">
        <v>0.69799999999999995</v>
      </c>
    </row>
    <row r="673" spans="1:4" x14ac:dyDescent="0.3">
      <c r="A673">
        <v>5</v>
      </c>
      <c r="B673">
        <f>COUNTIFS($A$2:A673,A673,$C$2:C673,"conf_1")</f>
        <v>1</v>
      </c>
      <c r="C673" t="s">
        <v>14</v>
      </c>
      <c r="D673">
        <v>6.2E-2</v>
      </c>
    </row>
    <row r="674" spans="1:4" x14ac:dyDescent="0.3">
      <c r="A674">
        <v>5</v>
      </c>
      <c r="B674">
        <f>COUNTIFS($A$2:A674,A674,$C$2:C674,"conf_1")</f>
        <v>1</v>
      </c>
      <c r="C674" t="s">
        <v>15</v>
      </c>
      <c r="D674">
        <v>0.73099999999999998</v>
      </c>
    </row>
    <row r="675" spans="1:4" x14ac:dyDescent="0.3">
      <c r="A675">
        <v>5</v>
      </c>
      <c r="B675">
        <f>COUNTIFS($A$2:A675,A675,$C$2:C675,"conf_1")</f>
        <v>1</v>
      </c>
      <c r="C675" t="s">
        <v>16</v>
      </c>
      <c r="D675">
        <v>0.112</v>
      </c>
    </row>
    <row r="676" spans="1:4" x14ac:dyDescent="0.3">
      <c r="A676">
        <v>5</v>
      </c>
      <c r="B676">
        <f>COUNTIFS($A$2:A676,A676,$C$2:C676,"conf_1")</f>
        <v>1</v>
      </c>
      <c r="C676" t="s">
        <v>17</v>
      </c>
      <c r="D676">
        <v>0.22900000000000001</v>
      </c>
    </row>
    <row r="677" spans="1:4" x14ac:dyDescent="0.3">
      <c r="A677">
        <v>5</v>
      </c>
      <c r="B677">
        <f>COUNTIFS($A$2:A677,A677,$C$2:C677,"conf_1")</f>
        <v>1</v>
      </c>
      <c r="C677" t="s">
        <v>18</v>
      </c>
      <c r="D677">
        <v>8.3000000000000004E-2</v>
      </c>
    </row>
    <row r="678" spans="1:4" x14ac:dyDescent="0.3">
      <c r="A678">
        <v>5</v>
      </c>
      <c r="B678">
        <f>COUNTIFS($A$2:A678,A678,$C$2:C678,"conf_1")</f>
        <v>1</v>
      </c>
      <c r="C678" t="s">
        <v>19</v>
      </c>
      <c r="D678">
        <v>0.68</v>
      </c>
    </row>
    <row r="679" spans="1:4" x14ac:dyDescent="0.3">
      <c r="A679">
        <v>5</v>
      </c>
      <c r="B679">
        <f>COUNTIFS($A$2:A679,A679,$C$2:C679,"conf_1")</f>
        <v>1</v>
      </c>
      <c r="C679" t="s">
        <v>20</v>
      </c>
      <c r="D679">
        <v>0.70599999999999996</v>
      </c>
    </row>
    <row r="680" spans="1:4" x14ac:dyDescent="0.3">
      <c r="A680">
        <v>5</v>
      </c>
      <c r="B680">
        <f>COUNTIFS($A$2:A680,A680,$C$2:C680,"conf_1")</f>
        <v>1</v>
      </c>
      <c r="C680" t="s">
        <v>21</v>
      </c>
      <c r="D680">
        <v>0.109</v>
      </c>
    </row>
    <row r="681" spans="1:4" x14ac:dyDescent="0.3">
      <c r="A681">
        <v>5</v>
      </c>
      <c r="B681">
        <f>COUNTIFS($A$2:A681,A681,$C$2:C681,"conf_1")</f>
        <v>1</v>
      </c>
      <c r="C681" t="s">
        <v>22</v>
      </c>
      <c r="D681">
        <v>6.0999999999999999E-2</v>
      </c>
    </row>
    <row r="682" spans="1:4" x14ac:dyDescent="0.3">
      <c r="A682">
        <v>5</v>
      </c>
      <c r="B682">
        <f>COUNTIFS($A$2:A682,A682,$C$2:C682,"conf_1")</f>
        <v>2</v>
      </c>
      <c r="C682" t="s">
        <v>3</v>
      </c>
      <c r="D682">
        <v>0.71799999999999997</v>
      </c>
    </row>
    <row r="683" spans="1:4" x14ac:dyDescent="0.3">
      <c r="A683">
        <v>5</v>
      </c>
      <c r="B683">
        <f>COUNTIFS($A$2:A683,A683,$C$2:C683,"conf_1")</f>
        <v>2</v>
      </c>
      <c r="C683" t="s">
        <v>4</v>
      </c>
      <c r="D683">
        <v>0.64600000000000002</v>
      </c>
    </row>
    <row r="684" spans="1:4" x14ac:dyDescent="0.3">
      <c r="A684">
        <v>5</v>
      </c>
      <c r="B684">
        <f>COUNTIFS($A$2:A684,A684,$C$2:C684,"conf_1")</f>
        <v>2</v>
      </c>
      <c r="C684" t="s">
        <v>5</v>
      </c>
      <c r="D684">
        <v>0.65700000000000003</v>
      </c>
    </row>
    <row r="685" spans="1:4" x14ac:dyDescent="0.3">
      <c r="A685">
        <v>5</v>
      </c>
      <c r="B685">
        <f>COUNTIFS($A$2:A685,A685,$C$2:C685,"conf_1")</f>
        <v>2</v>
      </c>
      <c r="C685" t="s">
        <v>6</v>
      </c>
      <c r="D685">
        <v>0.64</v>
      </c>
    </row>
    <row r="686" spans="1:4" x14ac:dyDescent="0.3">
      <c r="A686">
        <v>5</v>
      </c>
      <c r="B686">
        <f>COUNTIFS($A$2:A686,A686,$C$2:C686,"conf_1")</f>
        <v>2</v>
      </c>
      <c r="C686" t="s">
        <v>7</v>
      </c>
      <c r="D686">
        <v>0.67200000000000004</v>
      </c>
    </row>
    <row r="687" spans="1:4" x14ac:dyDescent="0.3">
      <c r="A687">
        <v>5</v>
      </c>
      <c r="B687">
        <f>COUNTIFS($A$2:A687,A687,$C$2:C687,"conf_1")</f>
        <v>2</v>
      </c>
      <c r="C687" t="s">
        <v>8</v>
      </c>
      <c r="D687">
        <v>0.63500000000000001</v>
      </c>
    </row>
    <row r="688" spans="1:4" x14ac:dyDescent="0.3">
      <c r="A688">
        <v>5</v>
      </c>
      <c r="B688">
        <f>COUNTIFS($A$2:A688,A688,$C$2:C688,"conf_1")</f>
        <v>2</v>
      </c>
      <c r="C688" t="s">
        <v>9</v>
      </c>
      <c r="D688">
        <v>0.219</v>
      </c>
    </row>
    <row r="689" spans="1:4" x14ac:dyDescent="0.3">
      <c r="A689">
        <v>5</v>
      </c>
      <c r="B689">
        <f>COUNTIFS($A$2:A689,A689,$C$2:C689,"conf_1")</f>
        <v>2</v>
      </c>
      <c r="C689" t="s">
        <v>10</v>
      </c>
      <c r="D689">
        <v>0.71499999999999997</v>
      </c>
    </row>
    <row r="690" spans="1:4" x14ac:dyDescent="0.3">
      <c r="A690">
        <v>5</v>
      </c>
      <c r="B690">
        <f>COUNTIFS($A$2:A690,A690,$C$2:C690,"conf_1")</f>
        <v>2</v>
      </c>
      <c r="C690" t="s">
        <v>11</v>
      </c>
      <c r="D690">
        <v>0.65200000000000002</v>
      </c>
    </row>
    <row r="691" spans="1:4" x14ac:dyDescent="0.3">
      <c r="A691">
        <v>5</v>
      </c>
      <c r="B691">
        <f>COUNTIFS($A$2:A691,A691,$C$2:C691,"conf_1")</f>
        <v>2</v>
      </c>
      <c r="C691" t="s">
        <v>12</v>
      </c>
      <c r="D691">
        <v>0.71799999999999997</v>
      </c>
    </row>
    <row r="692" spans="1:4" x14ac:dyDescent="0.3">
      <c r="A692">
        <v>5</v>
      </c>
      <c r="B692">
        <f>COUNTIFS($A$2:A692,A692,$C$2:C692,"conf_1")</f>
        <v>2</v>
      </c>
      <c r="C692" t="s">
        <v>13</v>
      </c>
      <c r="D692">
        <v>0.69899999999999995</v>
      </c>
    </row>
    <row r="693" spans="1:4" x14ac:dyDescent="0.3">
      <c r="A693">
        <v>5</v>
      </c>
      <c r="B693">
        <f>COUNTIFS($A$2:A693,A693,$C$2:C693,"conf_1")</f>
        <v>2</v>
      </c>
      <c r="C693" t="s">
        <v>14</v>
      </c>
      <c r="D693">
        <v>6.3E-2</v>
      </c>
    </row>
    <row r="694" spans="1:4" x14ac:dyDescent="0.3">
      <c r="A694">
        <v>5</v>
      </c>
      <c r="B694">
        <f>COUNTIFS($A$2:A694,A694,$C$2:C694,"conf_1")</f>
        <v>2</v>
      </c>
      <c r="C694" t="s">
        <v>15</v>
      </c>
      <c r="D694">
        <v>0.73299999999999998</v>
      </c>
    </row>
    <row r="695" spans="1:4" x14ac:dyDescent="0.3">
      <c r="A695">
        <v>5</v>
      </c>
      <c r="B695">
        <f>COUNTIFS($A$2:A695,A695,$C$2:C695,"conf_1")</f>
        <v>2</v>
      </c>
      <c r="C695" t="s">
        <v>16</v>
      </c>
      <c r="D695">
        <v>0.115</v>
      </c>
    </row>
    <row r="696" spans="1:4" x14ac:dyDescent="0.3">
      <c r="A696">
        <v>5</v>
      </c>
      <c r="B696">
        <f>COUNTIFS($A$2:A696,A696,$C$2:C696,"conf_1")</f>
        <v>2</v>
      </c>
      <c r="C696" t="s">
        <v>17</v>
      </c>
      <c r="D696">
        <v>0.23100000000000001</v>
      </c>
    </row>
    <row r="697" spans="1:4" x14ac:dyDescent="0.3">
      <c r="A697">
        <v>5</v>
      </c>
      <c r="B697">
        <f>COUNTIFS($A$2:A697,A697,$C$2:C697,"conf_1")</f>
        <v>2</v>
      </c>
      <c r="C697" t="s">
        <v>18</v>
      </c>
      <c r="D697">
        <v>0.08</v>
      </c>
    </row>
    <row r="698" spans="1:4" x14ac:dyDescent="0.3">
      <c r="A698">
        <v>5</v>
      </c>
      <c r="B698">
        <f>COUNTIFS($A$2:A698,A698,$C$2:C698,"conf_1")</f>
        <v>2</v>
      </c>
      <c r="C698" t="s">
        <v>19</v>
      </c>
      <c r="D698">
        <v>0.68100000000000005</v>
      </c>
    </row>
    <row r="699" spans="1:4" x14ac:dyDescent="0.3">
      <c r="A699">
        <v>5</v>
      </c>
      <c r="B699">
        <f>COUNTIFS($A$2:A699,A699,$C$2:C699,"conf_1")</f>
        <v>2</v>
      </c>
      <c r="C699" t="s">
        <v>20</v>
      </c>
      <c r="D699">
        <v>0.70799999999999996</v>
      </c>
    </row>
    <row r="700" spans="1:4" x14ac:dyDescent="0.3">
      <c r="A700">
        <v>5</v>
      </c>
      <c r="B700">
        <f>COUNTIFS($A$2:A700,A700,$C$2:C700,"conf_1")</f>
        <v>2</v>
      </c>
      <c r="C700" t="s">
        <v>21</v>
      </c>
      <c r="D700">
        <v>0.106</v>
      </c>
    </row>
    <row r="701" spans="1:4" x14ac:dyDescent="0.3">
      <c r="A701">
        <v>5</v>
      </c>
      <c r="B701">
        <f>COUNTIFS($A$2:A701,A701,$C$2:C701,"conf_1")</f>
        <v>2</v>
      </c>
      <c r="C701" t="s">
        <v>22</v>
      </c>
      <c r="D701">
        <v>6.2E-2</v>
      </c>
    </row>
    <row r="702" spans="1:4" x14ac:dyDescent="0.3">
      <c r="A702">
        <v>5</v>
      </c>
      <c r="B702">
        <f>COUNTIFS($A$2:A702,A702,$C$2:C702,"conf_1")</f>
        <v>3</v>
      </c>
      <c r="C702" t="s">
        <v>3</v>
      </c>
      <c r="D702">
        <v>0.71599999999999997</v>
      </c>
    </row>
    <row r="703" spans="1:4" x14ac:dyDescent="0.3">
      <c r="A703">
        <v>5</v>
      </c>
      <c r="B703">
        <f>COUNTIFS($A$2:A703,A703,$C$2:C703,"conf_1")</f>
        <v>3</v>
      </c>
      <c r="C703" t="s">
        <v>4</v>
      </c>
      <c r="D703">
        <v>0.64500000000000002</v>
      </c>
    </row>
    <row r="704" spans="1:4" x14ac:dyDescent="0.3">
      <c r="A704">
        <v>5</v>
      </c>
      <c r="B704">
        <f>COUNTIFS($A$2:A704,A704,$C$2:C704,"conf_1")</f>
        <v>3</v>
      </c>
      <c r="C704" t="s">
        <v>5</v>
      </c>
      <c r="D704">
        <v>0.65600000000000003</v>
      </c>
    </row>
    <row r="705" spans="1:4" x14ac:dyDescent="0.3">
      <c r="A705">
        <v>5</v>
      </c>
      <c r="B705">
        <f>COUNTIFS($A$2:A705,A705,$C$2:C705,"conf_1")</f>
        <v>3</v>
      </c>
      <c r="C705" t="s">
        <v>6</v>
      </c>
      <c r="D705">
        <v>0.63900000000000001</v>
      </c>
    </row>
    <row r="706" spans="1:4" x14ac:dyDescent="0.3">
      <c r="A706">
        <v>5</v>
      </c>
      <c r="B706">
        <f>COUNTIFS($A$2:A706,A706,$C$2:C706,"conf_1")</f>
        <v>3</v>
      </c>
      <c r="C706" t="s">
        <v>7</v>
      </c>
      <c r="D706">
        <v>0.67100000000000004</v>
      </c>
    </row>
    <row r="707" spans="1:4" x14ac:dyDescent="0.3">
      <c r="A707">
        <v>5</v>
      </c>
      <c r="B707">
        <f>COUNTIFS($A$2:A707,A707,$C$2:C707,"conf_1")</f>
        <v>3</v>
      </c>
      <c r="C707" t="s">
        <v>8</v>
      </c>
      <c r="D707">
        <v>0.63400000000000001</v>
      </c>
    </row>
    <row r="708" spans="1:4" x14ac:dyDescent="0.3">
      <c r="A708">
        <v>5</v>
      </c>
      <c r="B708">
        <f>COUNTIFS($A$2:A708,A708,$C$2:C708,"conf_1")</f>
        <v>3</v>
      </c>
      <c r="C708" t="s">
        <v>9</v>
      </c>
      <c r="D708">
        <v>0.217</v>
      </c>
    </row>
    <row r="709" spans="1:4" x14ac:dyDescent="0.3">
      <c r="A709">
        <v>5</v>
      </c>
      <c r="B709">
        <f>COUNTIFS($A$2:A709,A709,$C$2:C709,"conf_1")</f>
        <v>3</v>
      </c>
      <c r="C709" t="s">
        <v>10</v>
      </c>
      <c r="D709">
        <v>0.71299999999999997</v>
      </c>
    </row>
    <row r="710" spans="1:4" x14ac:dyDescent="0.3">
      <c r="A710">
        <v>5</v>
      </c>
      <c r="B710">
        <f>COUNTIFS($A$2:A710,A710,$C$2:C710,"conf_1")</f>
        <v>3</v>
      </c>
      <c r="C710" t="s">
        <v>11</v>
      </c>
      <c r="D710">
        <v>0.65</v>
      </c>
    </row>
    <row r="711" spans="1:4" x14ac:dyDescent="0.3">
      <c r="A711">
        <v>5</v>
      </c>
      <c r="B711">
        <f>COUNTIFS($A$2:A711,A711,$C$2:C711,"conf_1")</f>
        <v>3</v>
      </c>
      <c r="C711" t="s">
        <v>12</v>
      </c>
      <c r="D711">
        <v>0.71599999999999997</v>
      </c>
    </row>
    <row r="712" spans="1:4" x14ac:dyDescent="0.3">
      <c r="A712">
        <v>5</v>
      </c>
      <c r="B712">
        <f>COUNTIFS($A$2:A712,A712,$C$2:C712,"conf_1")</f>
        <v>3</v>
      </c>
      <c r="C712" t="s">
        <v>13</v>
      </c>
      <c r="D712">
        <v>0.69699999999999995</v>
      </c>
    </row>
    <row r="713" spans="1:4" x14ac:dyDescent="0.3">
      <c r="A713">
        <v>5</v>
      </c>
      <c r="B713">
        <f>COUNTIFS($A$2:A713,A713,$C$2:C713,"conf_1")</f>
        <v>3</v>
      </c>
      <c r="C713" t="s">
        <v>14</v>
      </c>
      <c r="D713">
        <v>6.4000000000000001E-2</v>
      </c>
    </row>
    <row r="714" spans="1:4" x14ac:dyDescent="0.3">
      <c r="A714">
        <v>5</v>
      </c>
      <c r="B714">
        <f>COUNTIFS($A$2:A714,A714,$C$2:C714,"conf_1")</f>
        <v>3</v>
      </c>
      <c r="C714" t="s">
        <v>15</v>
      </c>
      <c r="D714">
        <v>0.73099999999999998</v>
      </c>
    </row>
    <row r="715" spans="1:4" x14ac:dyDescent="0.3">
      <c r="A715">
        <v>5</v>
      </c>
      <c r="B715">
        <f>COUNTIFS($A$2:A715,A715,$C$2:C715,"conf_1")</f>
        <v>3</v>
      </c>
      <c r="C715" t="s">
        <v>16</v>
      </c>
      <c r="D715">
        <v>0.112</v>
      </c>
    </row>
    <row r="716" spans="1:4" x14ac:dyDescent="0.3">
      <c r="A716">
        <v>5</v>
      </c>
      <c r="B716">
        <f>COUNTIFS($A$2:A716,A716,$C$2:C716,"conf_1")</f>
        <v>3</v>
      </c>
      <c r="C716" t="s">
        <v>17</v>
      </c>
      <c r="D716">
        <v>0.22800000000000001</v>
      </c>
    </row>
    <row r="717" spans="1:4" x14ac:dyDescent="0.3">
      <c r="A717">
        <v>5</v>
      </c>
      <c r="B717">
        <f>COUNTIFS($A$2:A717,A717,$C$2:C717,"conf_1")</f>
        <v>3</v>
      </c>
      <c r="C717" t="s">
        <v>18</v>
      </c>
      <c r="D717">
        <v>8.5000000000000006E-2</v>
      </c>
    </row>
    <row r="718" spans="1:4" x14ac:dyDescent="0.3">
      <c r="A718">
        <v>5</v>
      </c>
      <c r="B718">
        <f>COUNTIFS($A$2:A718,A718,$C$2:C718,"conf_1")</f>
        <v>3</v>
      </c>
      <c r="C718" t="s">
        <v>19</v>
      </c>
      <c r="D718">
        <v>0.68</v>
      </c>
    </row>
    <row r="719" spans="1:4" x14ac:dyDescent="0.3">
      <c r="A719">
        <v>5</v>
      </c>
      <c r="B719">
        <f>COUNTIFS($A$2:A719,A719,$C$2:C719,"conf_1")</f>
        <v>3</v>
      </c>
      <c r="C719" t="s">
        <v>20</v>
      </c>
      <c r="D719">
        <v>0.70599999999999996</v>
      </c>
    </row>
    <row r="720" spans="1:4" x14ac:dyDescent="0.3">
      <c r="A720">
        <v>5</v>
      </c>
      <c r="B720">
        <f>COUNTIFS($A$2:A720,A720,$C$2:C720,"conf_1")</f>
        <v>3</v>
      </c>
      <c r="C720" t="s">
        <v>21</v>
      </c>
      <c r="D720">
        <v>0.111</v>
      </c>
    </row>
    <row r="721" spans="1:4" x14ac:dyDescent="0.3">
      <c r="A721">
        <v>5</v>
      </c>
      <c r="B721">
        <f>COUNTIFS($A$2:A721,A721,$C$2:C721,"conf_1")</f>
        <v>3</v>
      </c>
      <c r="C721" t="s">
        <v>22</v>
      </c>
      <c r="D721">
        <v>5.8999999999999997E-2</v>
      </c>
    </row>
    <row r="722" spans="1:4" x14ac:dyDescent="0.3">
      <c r="A722">
        <v>5</v>
      </c>
      <c r="B722">
        <f>COUNTIFS($A$2:A722,A722,$C$2:C722,"conf_1")</f>
        <v>4</v>
      </c>
      <c r="C722" t="s">
        <v>3</v>
      </c>
      <c r="D722">
        <v>0.71799999999999997</v>
      </c>
    </row>
    <row r="723" spans="1:4" x14ac:dyDescent="0.3">
      <c r="A723">
        <v>5</v>
      </c>
      <c r="B723">
        <f>COUNTIFS($A$2:A723,A723,$C$2:C723,"conf_1")</f>
        <v>4</v>
      </c>
      <c r="C723" t="s">
        <v>4</v>
      </c>
      <c r="D723">
        <v>0.64600000000000002</v>
      </c>
    </row>
    <row r="724" spans="1:4" x14ac:dyDescent="0.3">
      <c r="A724">
        <v>5</v>
      </c>
      <c r="B724">
        <f>COUNTIFS($A$2:A724,A724,$C$2:C724,"conf_1")</f>
        <v>4</v>
      </c>
      <c r="C724" t="s">
        <v>5</v>
      </c>
      <c r="D724">
        <v>0.65700000000000003</v>
      </c>
    </row>
    <row r="725" spans="1:4" x14ac:dyDescent="0.3">
      <c r="A725">
        <v>5</v>
      </c>
      <c r="B725">
        <f>COUNTIFS($A$2:A725,A725,$C$2:C725,"conf_1")</f>
        <v>4</v>
      </c>
      <c r="C725" t="s">
        <v>6</v>
      </c>
      <c r="D725">
        <v>0.64</v>
      </c>
    </row>
    <row r="726" spans="1:4" x14ac:dyDescent="0.3">
      <c r="A726">
        <v>5</v>
      </c>
      <c r="B726">
        <f>COUNTIFS($A$2:A726,A726,$C$2:C726,"conf_1")</f>
        <v>4</v>
      </c>
      <c r="C726" t="s">
        <v>7</v>
      </c>
      <c r="D726">
        <v>0.67200000000000004</v>
      </c>
    </row>
    <row r="727" spans="1:4" x14ac:dyDescent="0.3">
      <c r="A727">
        <v>5</v>
      </c>
      <c r="B727">
        <f>COUNTIFS($A$2:A727,A727,$C$2:C727,"conf_1")</f>
        <v>4</v>
      </c>
      <c r="C727" t="s">
        <v>8</v>
      </c>
      <c r="D727">
        <v>0.63500000000000001</v>
      </c>
    </row>
    <row r="728" spans="1:4" x14ac:dyDescent="0.3">
      <c r="A728">
        <v>5</v>
      </c>
      <c r="B728">
        <f>COUNTIFS($A$2:A728,A728,$C$2:C728,"conf_1")</f>
        <v>4</v>
      </c>
      <c r="C728" t="s">
        <v>9</v>
      </c>
      <c r="D728">
        <v>0.22</v>
      </c>
    </row>
    <row r="729" spans="1:4" x14ac:dyDescent="0.3">
      <c r="A729">
        <v>5</v>
      </c>
      <c r="B729">
        <f>COUNTIFS($A$2:A729,A729,$C$2:C729,"conf_1")</f>
        <v>4</v>
      </c>
      <c r="C729" t="s">
        <v>10</v>
      </c>
      <c r="D729">
        <v>0.71399999999999997</v>
      </c>
    </row>
    <row r="730" spans="1:4" x14ac:dyDescent="0.3">
      <c r="A730">
        <v>5</v>
      </c>
      <c r="B730">
        <f>COUNTIFS($A$2:A730,A730,$C$2:C730,"conf_1")</f>
        <v>4</v>
      </c>
      <c r="C730" t="s">
        <v>11</v>
      </c>
      <c r="D730">
        <v>0.65100000000000002</v>
      </c>
    </row>
    <row r="731" spans="1:4" x14ac:dyDescent="0.3">
      <c r="A731">
        <v>5</v>
      </c>
      <c r="B731">
        <f>COUNTIFS($A$2:A731,A731,$C$2:C731,"conf_1")</f>
        <v>4</v>
      </c>
      <c r="C731" t="s">
        <v>12</v>
      </c>
      <c r="D731">
        <v>0.71799999999999997</v>
      </c>
    </row>
    <row r="732" spans="1:4" x14ac:dyDescent="0.3">
      <c r="A732">
        <v>5</v>
      </c>
      <c r="B732">
        <f>COUNTIFS($A$2:A732,A732,$C$2:C732,"conf_1")</f>
        <v>4</v>
      </c>
      <c r="C732" t="s">
        <v>13</v>
      </c>
      <c r="D732">
        <v>0.69899999999999995</v>
      </c>
    </row>
    <row r="733" spans="1:4" x14ac:dyDescent="0.3">
      <c r="A733">
        <v>5</v>
      </c>
      <c r="B733">
        <f>COUNTIFS($A$2:A733,A733,$C$2:C733,"conf_1")</f>
        <v>4</v>
      </c>
      <c r="C733" t="s">
        <v>14</v>
      </c>
      <c r="D733">
        <v>6.6000000000000003E-2</v>
      </c>
    </row>
    <row r="734" spans="1:4" x14ac:dyDescent="0.3">
      <c r="A734">
        <v>5</v>
      </c>
      <c r="B734">
        <f>COUNTIFS($A$2:A734,A734,$C$2:C734,"conf_1")</f>
        <v>4</v>
      </c>
      <c r="C734" t="s">
        <v>15</v>
      </c>
      <c r="D734">
        <v>0.73299999999999998</v>
      </c>
    </row>
    <row r="735" spans="1:4" x14ac:dyDescent="0.3">
      <c r="A735">
        <v>5</v>
      </c>
      <c r="B735">
        <f>COUNTIFS($A$2:A735,A735,$C$2:C735,"conf_1")</f>
        <v>4</v>
      </c>
      <c r="C735" t="s">
        <v>16</v>
      </c>
      <c r="D735">
        <v>0.115</v>
      </c>
    </row>
    <row r="736" spans="1:4" x14ac:dyDescent="0.3">
      <c r="A736">
        <v>5</v>
      </c>
      <c r="B736">
        <f>COUNTIFS($A$2:A736,A736,$C$2:C736,"conf_1")</f>
        <v>4</v>
      </c>
      <c r="C736" t="s">
        <v>17</v>
      </c>
      <c r="D736">
        <v>0.23</v>
      </c>
    </row>
    <row r="737" spans="1:4" x14ac:dyDescent="0.3">
      <c r="A737">
        <v>5</v>
      </c>
      <c r="B737">
        <f>COUNTIFS($A$2:A737,A737,$C$2:C737,"conf_1")</f>
        <v>4</v>
      </c>
      <c r="C737" t="s">
        <v>18</v>
      </c>
      <c r="D737">
        <v>8.3000000000000004E-2</v>
      </c>
    </row>
    <row r="738" spans="1:4" x14ac:dyDescent="0.3">
      <c r="A738">
        <v>5</v>
      </c>
      <c r="B738">
        <f>COUNTIFS($A$2:A738,A738,$C$2:C738,"conf_1")</f>
        <v>4</v>
      </c>
      <c r="C738" t="s">
        <v>19</v>
      </c>
      <c r="D738">
        <v>0.68100000000000005</v>
      </c>
    </row>
    <row r="739" spans="1:4" x14ac:dyDescent="0.3">
      <c r="A739">
        <v>5</v>
      </c>
      <c r="B739">
        <f>COUNTIFS($A$2:A739,A739,$C$2:C739,"conf_1")</f>
        <v>4</v>
      </c>
      <c r="C739" t="s">
        <v>20</v>
      </c>
      <c r="D739">
        <v>0.70699999999999996</v>
      </c>
    </row>
    <row r="740" spans="1:4" x14ac:dyDescent="0.3">
      <c r="A740">
        <v>5</v>
      </c>
      <c r="B740">
        <f>COUNTIFS($A$2:A740,A740,$C$2:C740,"conf_1")</f>
        <v>4</v>
      </c>
      <c r="C740" t="s">
        <v>21</v>
      </c>
      <c r="D740">
        <v>0.11</v>
      </c>
    </row>
    <row r="741" spans="1:4" x14ac:dyDescent="0.3">
      <c r="A741">
        <v>5</v>
      </c>
      <c r="B741">
        <f>COUNTIFS($A$2:A741,A741,$C$2:C741,"conf_1")</f>
        <v>4</v>
      </c>
      <c r="C741" t="s">
        <v>22</v>
      </c>
      <c r="D741">
        <v>5.8000000000000003E-2</v>
      </c>
    </row>
    <row r="742" spans="1:4" x14ac:dyDescent="0.3">
      <c r="A742">
        <v>5</v>
      </c>
      <c r="B742">
        <f>COUNTIFS($A$2:A742,A742,$C$2:C742,"conf_1")</f>
        <v>5</v>
      </c>
      <c r="C742" t="s">
        <v>3</v>
      </c>
      <c r="D742">
        <v>0.71799999999999997</v>
      </c>
    </row>
    <row r="743" spans="1:4" x14ac:dyDescent="0.3">
      <c r="A743">
        <v>5</v>
      </c>
      <c r="B743">
        <f>COUNTIFS($A$2:A743,A743,$C$2:C743,"conf_1")</f>
        <v>5</v>
      </c>
      <c r="C743" t="s">
        <v>4</v>
      </c>
      <c r="D743">
        <v>0.64600000000000002</v>
      </c>
    </row>
    <row r="744" spans="1:4" x14ac:dyDescent="0.3">
      <c r="A744">
        <v>5</v>
      </c>
      <c r="B744">
        <f>COUNTIFS($A$2:A744,A744,$C$2:C744,"conf_1")</f>
        <v>5</v>
      </c>
      <c r="C744" t="s">
        <v>5</v>
      </c>
      <c r="D744">
        <v>0.65800000000000003</v>
      </c>
    </row>
    <row r="745" spans="1:4" x14ac:dyDescent="0.3">
      <c r="A745">
        <v>5</v>
      </c>
      <c r="B745">
        <f>COUNTIFS($A$2:A745,A745,$C$2:C745,"conf_1")</f>
        <v>5</v>
      </c>
      <c r="C745" t="s">
        <v>6</v>
      </c>
      <c r="D745">
        <v>0.64</v>
      </c>
    </row>
    <row r="746" spans="1:4" x14ac:dyDescent="0.3">
      <c r="A746">
        <v>5</v>
      </c>
      <c r="B746">
        <f>COUNTIFS($A$2:A746,A746,$C$2:C746,"conf_1")</f>
        <v>5</v>
      </c>
      <c r="C746" t="s">
        <v>7</v>
      </c>
      <c r="D746">
        <v>0.67200000000000004</v>
      </c>
    </row>
    <row r="747" spans="1:4" x14ac:dyDescent="0.3">
      <c r="A747">
        <v>5</v>
      </c>
      <c r="B747">
        <f>COUNTIFS($A$2:A747,A747,$C$2:C747,"conf_1")</f>
        <v>5</v>
      </c>
      <c r="C747" t="s">
        <v>8</v>
      </c>
      <c r="D747">
        <v>0.63600000000000001</v>
      </c>
    </row>
    <row r="748" spans="1:4" x14ac:dyDescent="0.3">
      <c r="A748">
        <v>5</v>
      </c>
      <c r="B748">
        <f>COUNTIFS($A$2:A748,A748,$C$2:C748,"conf_1")</f>
        <v>5</v>
      </c>
      <c r="C748" t="s">
        <v>9</v>
      </c>
      <c r="D748">
        <v>0.216</v>
      </c>
    </row>
    <row r="749" spans="1:4" x14ac:dyDescent="0.3">
      <c r="A749">
        <v>5</v>
      </c>
      <c r="B749">
        <f>COUNTIFS($A$2:A749,A749,$C$2:C749,"conf_1")</f>
        <v>5</v>
      </c>
      <c r="C749" t="s">
        <v>10</v>
      </c>
      <c r="D749">
        <v>0.71399999999999997</v>
      </c>
    </row>
    <row r="750" spans="1:4" x14ac:dyDescent="0.3">
      <c r="A750">
        <v>5</v>
      </c>
      <c r="B750">
        <f>COUNTIFS($A$2:A750,A750,$C$2:C750,"conf_1")</f>
        <v>5</v>
      </c>
      <c r="C750" t="s">
        <v>11</v>
      </c>
      <c r="D750">
        <v>0.65200000000000002</v>
      </c>
    </row>
    <row r="751" spans="1:4" x14ac:dyDescent="0.3">
      <c r="A751">
        <v>5</v>
      </c>
      <c r="B751">
        <f>COUNTIFS($A$2:A751,A751,$C$2:C751,"conf_1")</f>
        <v>5</v>
      </c>
      <c r="C751" t="s">
        <v>12</v>
      </c>
      <c r="D751">
        <v>0.71799999999999997</v>
      </c>
    </row>
    <row r="752" spans="1:4" x14ac:dyDescent="0.3">
      <c r="A752">
        <v>5</v>
      </c>
      <c r="B752">
        <f>COUNTIFS($A$2:A752,A752,$C$2:C752,"conf_1")</f>
        <v>5</v>
      </c>
      <c r="C752" t="s">
        <v>13</v>
      </c>
      <c r="D752">
        <v>0.69899999999999995</v>
      </c>
    </row>
    <row r="753" spans="1:4" x14ac:dyDescent="0.3">
      <c r="A753">
        <v>5</v>
      </c>
      <c r="B753">
        <f>COUNTIFS($A$2:A753,A753,$C$2:C753,"conf_1")</f>
        <v>5</v>
      </c>
      <c r="C753" t="s">
        <v>14</v>
      </c>
      <c r="D753">
        <v>0.06</v>
      </c>
    </row>
    <row r="754" spans="1:4" x14ac:dyDescent="0.3">
      <c r="A754">
        <v>5</v>
      </c>
      <c r="B754">
        <f>COUNTIFS($A$2:A754,A754,$C$2:C754,"conf_1")</f>
        <v>5</v>
      </c>
      <c r="C754" t="s">
        <v>15</v>
      </c>
      <c r="D754">
        <v>0.73299999999999998</v>
      </c>
    </row>
    <row r="755" spans="1:4" x14ac:dyDescent="0.3">
      <c r="A755">
        <v>5</v>
      </c>
      <c r="B755">
        <f>COUNTIFS($A$2:A755,A755,$C$2:C755,"conf_1")</f>
        <v>5</v>
      </c>
      <c r="C755" t="s">
        <v>16</v>
      </c>
      <c r="D755">
        <v>0.112</v>
      </c>
    </row>
    <row r="756" spans="1:4" x14ac:dyDescent="0.3">
      <c r="A756">
        <v>5</v>
      </c>
      <c r="B756">
        <f>COUNTIFS($A$2:A756,A756,$C$2:C756,"conf_1")</f>
        <v>5</v>
      </c>
      <c r="C756" t="s">
        <v>17</v>
      </c>
      <c r="D756">
        <v>0.22900000000000001</v>
      </c>
    </row>
    <row r="757" spans="1:4" x14ac:dyDescent="0.3">
      <c r="A757">
        <v>5</v>
      </c>
      <c r="B757">
        <f>COUNTIFS($A$2:A757,A757,$C$2:C757,"conf_1")</f>
        <v>5</v>
      </c>
      <c r="C757" t="s">
        <v>18</v>
      </c>
      <c r="D757">
        <v>8.1000000000000003E-2</v>
      </c>
    </row>
    <row r="758" spans="1:4" x14ac:dyDescent="0.3">
      <c r="A758">
        <v>5</v>
      </c>
      <c r="B758">
        <f>COUNTIFS($A$2:A758,A758,$C$2:C758,"conf_1")</f>
        <v>5</v>
      </c>
      <c r="C758" t="s">
        <v>19</v>
      </c>
      <c r="D758">
        <v>0.68200000000000005</v>
      </c>
    </row>
    <row r="759" spans="1:4" x14ac:dyDescent="0.3">
      <c r="A759">
        <v>5</v>
      </c>
      <c r="B759">
        <f>COUNTIFS($A$2:A759,A759,$C$2:C759,"conf_1")</f>
        <v>5</v>
      </c>
      <c r="C759" t="s">
        <v>20</v>
      </c>
      <c r="D759">
        <v>0.70699999999999996</v>
      </c>
    </row>
    <row r="760" spans="1:4" x14ac:dyDescent="0.3">
      <c r="A760">
        <v>5</v>
      </c>
      <c r="B760">
        <f>COUNTIFS($A$2:A760,A760,$C$2:C760,"conf_1")</f>
        <v>5</v>
      </c>
      <c r="C760" t="s">
        <v>21</v>
      </c>
      <c r="D760">
        <v>0.107</v>
      </c>
    </row>
    <row r="761" spans="1:4" x14ac:dyDescent="0.3">
      <c r="A761">
        <v>5</v>
      </c>
      <c r="B761">
        <f>COUNTIFS($A$2:A761,A761,$C$2:C761,"conf_1")</f>
        <v>5</v>
      </c>
      <c r="C761" t="s">
        <v>22</v>
      </c>
      <c r="D761">
        <v>6.2E-2</v>
      </c>
    </row>
    <row r="762" spans="1:4" x14ac:dyDescent="0.3">
      <c r="A762">
        <v>5</v>
      </c>
      <c r="B762">
        <f>COUNTIFS($A$2:A762,A762,$C$2:C762,"conf_1")</f>
        <v>6</v>
      </c>
      <c r="C762" t="s">
        <v>3</v>
      </c>
      <c r="D762">
        <v>0.71499999999999997</v>
      </c>
    </row>
    <row r="763" spans="1:4" x14ac:dyDescent="0.3">
      <c r="A763">
        <v>5</v>
      </c>
      <c r="B763">
        <f>COUNTIFS($A$2:A763,A763,$C$2:C763,"conf_1")</f>
        <v>6</v>
      </c>
      <c r="C763" t="s">
        <v>4</v>
      </c>
      <c r="D763">
        <v>0.64400000000000002</v>
      </c>
    </row>
    <row r="764" spans="1:4" x14ac:dyDescent="0.3">
      <c r="A764">
        <v>5</v>
      </c>
      <c r="B764">
        <f>COUNTIFS($A$2:A764,A764,$C$2:C764,"conf_1")</f>
        <v>6</v>
      </c>
      <c r="C764" t="s">
        <v>5</v>
      </c>
      <c r="D764">
        <v>0.65600000000000003</v>
      </c>
    </row>
    <row r="765" spans="1:4" x14ac:dyDescent="0.3">
      <c r="A765">
        <v>5</v>
      </c>
      <c r="B765">
        <f>COUNTIFS($A$2:A765,A765,$C$2:C765,"conf_1")</f>
        <v>6</v>
      </c>
      <c r="C765" t="s">
        <v>6</v>
      </c>
      <c r="D765">
        <v>0.63800000000000001</v>
      </c>
    </row>
    <row r="766" spans="1:4" x14ac:dyDescent="0.3">
      <c r="A766">
        <v>5</v>
      </c>
      <c r="B766">
        <f>COUNTIFS($A$2:A766,A766,$C$2:C766,"conf_1")</f>
        <v>6</v>
      </c>
      <c r="C766" t="s">
        <v>7</v>
      </c>
      <c r="D766">
        <v>0.67</v>
      </c>
    </row>
    <row r="767" spans="1:4" x14ac:dyDescent="0.3">
      <c r="A767">
        <v>5</v>
      </c>
      <c r="B767">
        <f>COUNTIFS($A$2:A767,A767,$C$2:C767,"conf_1")</f>
        <v>6</v>
      </c>
      <c r="C767" t="s">
        <v>8</v>
      </c>
      <c r="D767">
        <v>0.63400000000000001</v>
      </c>
    </row>
    <row r="768" spans="1:4" x14ac:dyDescent="0.3">
      <c r="A768">
        <v>5</v>
      </c>
      <c r="B768">
        <f>COUNTIFS($A$2:A768,A768,$C$2:C768,"conf_1")</f>
        <v>6</v>
      </c>
      <c r="C768" t="s">
        <v>9</v>
      </c>
      <c r="D768">
        <v>0.214</v>
      </c>
    </row>
    <row r="769" spans="1:4" x14ac:dyDescent="0.3">
      <c r="A769">
        <v>5</v>
      </c>
      <c r="B769">
        <f>COUNTIFS($A$2:A769,A769,$C$2:C769,"conf_1")</f>
        <v>6</v>
      </c>
      <c r="C769" t="s">
        <v>10</v>
      </c>
      <c r="D769">
        <v>0.71199999999999997</v>
      </c>
    </row>
    <row r="770" spans="1:4" x14ac:dyDescent="0.3">
      <c r="A770">
        <v>5</v>
      </c>
      <c r="B770">
        <f>COUNTIFS($A$2:A770,A770,$C$2:C770,"conf_1")</f>
        <v>6</v>
      </c>
      <c r="C770" t="s">
        <v>11</v>
      </c>
      <c r="D770">
        <v>0.65</v>
      </c>
    </row>
    <row r="771" spans="1:4" x14ac:dyDescent="0.3">
      <c r="A771">
        <v>5</v>
      </c>
      <c r="B771">
        <f>COUNTIFS($A$2:A771,A771,$C$2:C771,"conf_1")</f>
        <v>6</v>
      </c>
      <c r="C771" t="s">
        <v>12</v>
      </c>
      <c r="D771">
        <v>0.71499999999999997</v>
      </c>
    </row>
    <row r="772" spans="1:4" x14ac:dyDescent="0.3">
      <c r="A772">
        <v>5</v>
      </c>
      <c r="B772">
        <f>COUNTIFS($A$2:A772,A772,$C$2:C772,"conf_1")</f>
        <v>6</v>
      </c>
      <c r="C772" t="s">
        <v>13</v>
      </c>
      <c r="D772">
        <v>0.69699999999999995</v>
      </c>
    </row>
    <row r="773" spans="1:4" x14ac:dyDescent="0.3">
      <c r="A773">
        <v>5</v>
      </c>
      <c r="B773">
        <f>COUNTIFS($A$2:A773,A773,$C$2:C773,"conf_1")</f>
        <v>6</v>
      </c>
      <c r="C773" t="s">
        <v>14</v>
      </c>
      <c r="D773">
        <v>0.06</v>
      </c>
    </row>
    <row r="774" spans="1:4" x14ac:dyDescent="0.3">
      <c r="A774">
        <v>5</v>
      </c>
      <c r="B774">
        <f>COUNTIFS($A$2:A774,A774,$C$2:C774,"conf_1")</f>
        <v>6</v>
      </c>
      <c r="C774" t="s">
        <v>15</v>
      </c>
      <c r="D774">
        <v>0.73</v>
      </c>
    </row>
    <row r="775" spans="1:4" x14ac:dyDescent="0.3">
      <c r="A775">
        <v>5</v>
      </c>
      <c r="B775">
        <f>COUNTIFS($A$2:A775,A775,$C$2:C775,"conf_1")</f>
        <v>6</v>
      </c>
      <c r="C775" t="s">
        <v>16</v>
      </c>
      <c r="D775">
        <v>0.11</v>
      </c>
    </row>
    <row r="776" spans="1:4" x14ac:dyDescent="0.3">
      <c r="A776">
        <v>5</v>
      </c>
      <c r="B776">
        <f>COUNTIFS($A$2:A776,A776,$C$2:C776,"conf_1")</f>
        <v>6</v>
      </c>
      <c r="C776" t="s">
        <v>17</v>
      </c>
      <c r="D776">
        <v>0.22700000000000001</v>
      </c>
    </row>
    <row r="777" spans="1:4" x14ac:dyDescent="0.3">
      <c r="A777">
        <v>5</v>
      </c>
      <c r="B777">
        <f>COUNTIFS($A$2:A777,A777,$C$2:C777,"conf_1")</f>
        <v>6</v>
      </c>
      <c r="C777" t="s">
        <v>18</v>
      </c>
      <c r="D777">
        <v>8.4000000000000005E-2</v>
      </c>
    </row>
    <row r="778" spans="1:4" x14ac:dyDescent="0.3">
      <c r="A778">
        <v>5</v>
      </c>
      <c r="B778">
        <f>COUNTIFS($A$2:A778,A778,$C$2:C778,"conf_1")</f>
        <v>6</v>
      </c>
      <c r="C778" t="s">
        <v>19</v>
      </c>
      <c r="D778">
        <v>0.67900000000000005</v>
      </c>
    </row>
    <row r="779" spans="1:4" x14ac:dyDescent="0.3">
      <c r="A779">
        <v>5</v>
      </c>
      <c r="B779">
        <f>COUNTIFS($A$2:A779,A779,$C$2:C779,"conf_1")</f>
        <v>6</v>
      </c>
      <c r="C779" t="s">
        <v>20</v>
      </c>
      <c r="D779">
        <v>0.70499999999999996</v>
      </c>
    </row>
    <row r="780" spans="1:4" x14ac:dyDescent="0.3">
      <c r="A780">
        <v>5</v>
      </c>
      <c r="B780">
        <f>COUNTIFS($A$2:A780,A780,$C$2:C780,"conf_1")</f>
        <v>6</v>
      </c>
      <c r="C780" t="s">
        <v>21</v>
      </c>
      <c r="D780">
        <v>0.11</v>
      </c>
    </row>
    <row r="781" spans="1:4" x14ac:dyDescent="0.3">
      <c r="A781">
        <v>5</v>
      </c>
      <c r="B781">
        <f>COUNTIFS($A$2:A781,A781,$C$2:C781,"conf_1")</f>
        <v>6</v>
      </c>
      <c r="C781" t="s">
        <v>22</v>
      </c>
      <c r="D781">
        <v>6.2E-2</v>
      </c>
    </row>
    <row r="782" spans="1:4" x14ac:dyDescent="0.3">
      <c r="A782">
        <v>5</v>
      </c>
      <c r="B782">
        <f>COUNTIFS($A$2:A782,A782,$C$2:C782,"conf_1")</f>
        <v>7</v>
      </c>
      <c r="C782" t="s">
        <v>3</v>
      </c>
      <c r="D782">
        <v>0.71599999999999997</v>
      </c>
    </row>
    <row r="783" spans="1:4" x14ac:dyDescent="0.3">
      <c r="A783">
        <v>5</v>
      </c>
      <c r="B783">
        <f>COUNTIFS($A$2:A783,A783,$C$2:C783,"conf_1")</f>
        <v>7</v>
      </c>
      <c r="C783" t="s">
        <v>4</v>
      </c>
      <c r="D783">
        <v>0.64500000000000002</v>
      </c>
    </row>
    <row r="784" spans="1:4" x14ac:dyDescent="0.3">
      <c r="A784">
        <v>5</v>
      </c>
      <c r="B784">
        <f>COUNTIFS($A$2:A784,A784,$C$2:C784,"conf_1")</f>
        <v>7</v>
      </c>
      <c r="C784" t="s">
        <v>5</v>
      </c>
      <c r="D784">
        <v>0.65600000000000003</v>
      </c>
    </row>
    <row r="785" spans="1:4" x14ac:dyDescent="0.3">
      <c r="A785">
        <v>5</v>
      </c>
      <c r="B785">
        <f>COUNTIFS($A$2:A785,A785,$C$2:C785,"conf_1")</f>
        <v>7</v>
      </c>
      <c r="C785" t="s">
        <v>6</v>
      </c>
      <c r="D785">
        <v>0.63900000000000001</v>
      </c>
    </row>
    <row r="786" spans="1:4" x14ac:dyDescent="0.3">
      <c r="A786">
        <v>5</v>
      </c>
      <c r="B786">
        <f>COUNTIFS($A$2:A786,A786,$C$2:C786,"conf_1")</f>
        <v>7</v>
      </c>
      <c r="C786" t="s">
        <v>7</v>
      </c>
      <c r="D786">
        <v>0.67100000000000004</v>
      </c>
    </row>
    <row r="787" spans="1:4" x14ac:dyDescent="0.3">
      <c r="A787">
        <v>5</v>
      </c>
      <c r="B787">
        <f>COUNTIFS($A$2:A787,A787,$C$2:C787,"conf_1")</f>
        <v>7</v>
      </c>
      <c r="C787" t="s">
        <v>8</v>
      </c>
      <c r="D787">
        <v>0.63500000000000001</v>
      </c>
    </row>
    <row r="788" spans="1:4" x14ac:dyDescent="0.3">
      <c r="A788">
        <v>5</v>
      </c>
      <c r="B788">
        <f>COUNTIFS($A$2:A788,A788,$C$2:C788,"conf_1")</f>
        <v>7</v>
      </c>
      <c r="C788" t="s">
        <v>9</v>
      </c>
      <c r="D788">
        <v>0.215</v>
      </c>
    </row>
    <row r="789" spans="1:4" x14ac:dyDescent="0.3">
      <c r="A789">
        <v>5</v>
      </c>
      <c r="B789">
        <f>COUNTIFS($A$2:A789,A789,$C$2:C789,"conf_1")</f>
        <v>7</v>
      </c>
      <c r="C789" t="s">
        <v>10</v>
      </c>
      <c r="D789">
        <v>0.71299999999999997</v>
      </c>
    </row>
    <row r="790" spans="1:4" x14ac:dyDescent="0.3">
      <c r="A790">
        <v>5</v>
      </c>
      <c r="B790">
        <f>COUNTIFS($A$2:A790,A790,$C$2:C790,"conf_1")</f>
        <v>7</v>
      </c>
      <c r="C790" t="s">
        <v>11</v>
      </c>
      <c r="D790">
        <v>0.65100000000000002</v>
      </c>
    </row>
    <row r="791" spans="1:4" x14ac:dyDescent="0.3">
      <c r="A791">
        <v>5</v>
      </c>
      <c r="B791">
        <f>COUNTIFS($A$2:A791,A791,$C$2:C791,"conf_1")</f>
        <v>7</v>
      </c>
      <c r="C791" t="s">
        <v>12</v>
      </c>
      <c r="D791">
        <v>0.71599999999999997</v>
      </c>
    </row>
    <row r="792" spans="1:4" x14ac:dyDescent="0.3">
      <c r="A792">
        <v>5</v>
      </c>
      <c r="B792">
        <f>COUNTIFS($A$2:A792,A792,$C$2:C792,"conf_1")</f>
        <v>7</v>
      </c>
      <c r="C792" t="s">
        <v>13</v>
      </c>
      <c r="D792">
        <v>0.69699999999999995</v>
      </c>
    </row>
    <row r="793" spans="1:4" x14ac:dyDescent="0.3">
      <c r="A793">
        <v>5</v>
      </c>
      <c r="B793">
        <f>COUNTIFS($A$2:A793,A793,$C$2:C793,"conf_1")</f>
        <v>7</v>
      </c>
      <c r="C793" t="s">
        <v>14</v>
      </c>
      <c r="D793">
        <v>6.0999999999999999E-2</v>
      </c>
    </row>
    <row r="794" spans="1:4" x14ac:dyDescent="0.3">
      <c r="A794">
        <v>5</v>
      </c>
      <c r="B794">
        <f>COUNTIFS($A$2:A794,A794,$C$2:C794,"conf_1")</f>
        <v>7</v>
      </c>
      <c r="C794" t="s">
        <v>15</v>
      </c>
      <c r="D794">
        <v>0.73099999999999998</v>
      </c>
    </row>
    <row r="795" spans="1:4" x14ac:dyDescent="0.3">
      <c r="A795">
        <v>5</v>
      </c>
      <c r="B795">
        <f>COUNTIFS($A$2:A795,A795,$C$2:C795,"conf_1")</f>
        <v>7</v>
      </c>
      <c r="C795" t="s">
        <v>16</v>
      </c>
      <c r="D795">
        <v>0.111</v>
      </c>
    </row>
    <row r="796" spans="1:4" x14ac:dyDescent="0.3">
      <c r="A796">
        <v>5</v>
      </c>
      <c r="B796">
        <f>COUNTIFS($A$2:A796,A796,$C$2:C796,"conf_1")</f>
        <v>7</v>
      </c>
      <c r="C796" t="s">
        <v>17</v>
      </c>
      <c r="D796">
        <v>0.22800000000000001</v>
      </c>
    </row>
    <row r="797" spans="1:4" x14ac:dyDescent="0.3">
      <c r="A797">
        <v>5</v>
      </c>
      <c r="B797">
        <f>COUNTIFS($A$2:A797,A797,$C$2:C797,"conf_1")</f>
        <v>7</v>
      </c>
      <c r="C797" t="s">
        <v>18</v>
      </c>
      <c r="D797">
        <v>8.3000000000000004E-2</v>
      </c>
    </row>
    <row r="798" spans="1:4" x14ac:dyDescent="0.3">
      <c r="A798">
        <v>5</v>
      </c>
      <c r="B798">
        <f>COUNTIFS($A$2:A798,A798,$C$2:C798,"conf_1")</f>
        <v>7</v>
      </c>
      <c r="C798" t="s">
        <v>19</v>
      </c>
      <c r="D798">
        <v>0.68</v>
      </c>
    </row>
    <row r="799" spans="1:4" x14ac:dyDescent="0.3">
      <c r="A799">
        <v>5</v>
      </c>
      <c r="B799">
        <f>COUNTIFS($A$2:A799,A799,$C$2:C799,"conf_1")</f>
        <v>7</v>
      </c>
      <c r="C799" t="s">
        <v>20</v>
      </c>
      <c r="D799">
        <v>0.70599999999999996</v>
      </c>
    </row>
    <row r="800" spans="1:4" x14ac:dyDescent="0.3">
      <c r="A800">
        <v>5</v>
      </c>
      <c r="B800">
        <f>COUNTIFS($A$2:A800,A800,$C$2:C800,"conf_1")</f>
        <v>7</v>
      </c>
      <c r="C800" t="s">
        <v>21</v>
      </c>
      <c r="D800">
        <v>0.109</v>
      </c>
    </row>
    <row r="801" spans="1:4" x14ac:dyDescent="0.3">
      <c r="A801">
        <v>5</v>
      </c>
      <c r="B801">
        <f>COUNTIFS($A$2:A801,A801,$C$2:C801,"conf_1")</f>
        <v>7</v>
      </c>
      <c r="C801" t="s">
        <v>22</v>
      </c>
      <c r="D801">
        <v>6.0999999999999999E-2</v>
      </c>
    </row>
    <row r="802" spans="1:4" x14ac:dyDescent="0.3">
      <c r="A802">
        <v>5</v>
      </c>
      <c r="B802">
        <f>COUNTIFS($A$2:A802,A802,$C$2:C802,"conf_1")</f>
        <v>8</v>
      </c>
      <c r="C802" t="s">
        <v>3</v>
      </c>
      <c r="D802">
        <v>0.71799999999999997</v>
      </c>
    </row>
    <row r="803" spans="1:4" x14ac:dyDescent="0.3">
      <c r="A803">
        <v>5</v>
      </c>
      <c r="B803">
        <f>COUNTIFS($A$2:A803,A803,$C$2:C803,"conf_1")</f>
        <v>8</v>
      </c>
      <c r="C803" t="s">
        <v>4</v>
      </c>
      <c r="D803">
        <v>0.64600000000000002</v>
      </c>
    </row>
    <row r="804" spans="1:4" x14ac:dyDescent="0.3">
      <c r="A804">
        <v>5</v>
      </c>
      <c r="B804">
        <f>COUNTIFS($A$2:A804,A804,$C$2:C804,"conf_1")</f>
        <v>8</v>
      </c>
      <c r="C804" t="s">
        <v>5</v>
      </c>
      <c r="D804">
        <v>0.65700000000000003</v>
      </c>
    </row>
    <row r="805" spans="1:4" x14ac:dyDescent="0.3">
      <c r="A805">
        <v>5</v>
      </c>
      <c r="B805">
        <f>COUNTIFS($A$2:A805,A805,$C$2:C805,"conf_1")</f>
        <v>8</v>
      </c>
      <c r="C805" t="s">
        <v>6</v>
      </c>
      <c r="D805">
        <v>0.64</v>
      </c>
    </row>
    <row r="806" spans="1:4" x14ac:dyDescent="0.3">
      <c r="A806">
        <v>5</v>
      </c>
      <c r="B806">
        <f>COUNTIFS($A$2:A806,A806,$C$2:C806,"conf_1")</f>
        <v>8</v>
      </c>
      <c r="C806" t="s">
        <v>7</v>
      </c>
      <c r="D806">
        <v>0.67200000000000004</v>
      </c>
    </row>
    <row r="807" spans="1:4" x14ac:dyDescent="0.3">
      <c r="A807">
        <v>5</v>
      </c>
      <c r="B807">
        <f>COUNTIFS($A$2:A807,A807,$C$2:C807,"conf_1")</f>
        <v>8</v>
      </c>
      <c r="C807" t="s">
        <v>8</v>
      </c>
      <c r="D807">
        <v>0.63500000000000001</v>
      </c>
    </row>
    <row r="808" spans="1:4" x14ac:dyDescent="0.3">
      <c r="A808">
        <v>5</v>
      </c>
      <c r="B808">
        <f>COUNTIFS($A$2:A808,A808,$C$2:C808,"conf_1")</f>
        <v>8</v>
      </c>
      <c r="C808" t="s">
        <v>9</v>
      </c>
      <c r="D808">
        <v>0.22</v>
      </c>
    </row>
    <row r="809" spans="1:4" x14ac:dyDescent="0.3">
      <c r="A809">
        <v>5</v>
      </c>
      <c r="B809">
        <f>COUNTIFS($A$2:A809,A809,$C$2:C809,"conf_1")</f>
        <v>8</v>
      </c>
      <c r="C809" t="s">
        <v>10</v>
      </c>
      <c r="D809">
        <v>0.71499999999999997</v>
      </c>
    </row>
    <row r="810" spans="1:4" x14ac:dyDescent="0.3">
      <c r="A810">
        <v>5</v>
      </c>
      <c r="B810">
        <f>COUNTIFS($A$2:A810,A810,$C$2:C810,"conf_1")</f>
        <v>8</v>
      </c>
      <c r="C810" t="s">
        <v>11</v>
      </c>
      <c r="D810">
        <v>0.65200000000000002</v>
      </c>
    </row>
    <row r="811" spans="1:4" x14ac:dyDescent="0.3">
      <c r="A811">
        <v>5</v>
      </c>
      <c r="B811">
        <f>COUNTIFS($A$2:A811,A811,$C$2:C811,"conf_1")</f>
        <v>8</v>
      </c>
      <c r="C811" t="s">
        <v>12</v>
      </c>
      <c r="D811">
        <v>0.71799999999999997</v>
      </c>
    </row>
    <row r="812" spans="1:4" x14ac:dyDescent="0.3">
      <c r="A812">
        <v>5</v>
      </c>
      <c r="B812">
        <f>COUNTIFS($A$2:A812,A812,$C$2:C812,"conf_1")</f>
        <v>8</v>
      </c>
      <c r="C812" t="s">
        <v>13</v>
      </c>
      <c r="D812">
        <v>0.69899999999999995</v>
      </c>
    </row>
    <row r="813" spans="1:4" x14ac:dyDescent="0.3">
      <c r="A813">
        <v>5</v>
      </c>
      <c r="B813">
        <f>COUNTIFS($A$2:A813,A813,$C$2:C813,"conf_1")</f>
        <v>8</v>
      </c>
      <c r="C813" t="s">
        <v>14</v>
      </c>
      <c r="D813">
        <v>6.5000000000000002E-2</v>
      </c>
    </row>
    <row r="814" spans="1:4" x14ac:dyDescent="0.3">
      <c r="A814">
        <v>5</v>
      </c>
      <c r="B814">
        <f>COUNTIFS($A$2:A814,A814,$C$2:C814,"conf_1")</f>
        <v>8</v>
      </c>
      <c r="C814" t="s">
        <v>15</v>
      </c>
      <c r="D814">
        <v>0.73299999999999998</v>
      </c>
    </row>
    <row r="815" spans="1:4" x14ac:dyDescent="0.3">
      <c r="A815">
        <v>5</v>
      </c>
      <c r="B815">
        <f>COUNTIFS($A$2:A815,A815,$C$2:C815,"conf_1")</f>
        <v>8</v>
      </c>
      <c r="C815" t="s">
        <v>16</v>
      </c>
      <c r="D815">
        <v>0.115</v>
      </c>
    </row>
    <row r="816" spans="1:4" x14ac:dyDescent="0.3">
      <c r="A816">
        <v>5</v>
      </c>
      <c r="B816">
        <f>COUNTIFS($A$2:A816,A816,$C$2:C816,"conf_1")</f>
        <v>8</v>
      </c>
      <c r="C816" t="s">
        <v>17</v>
      </c>
      <c r="D816">
        <v>0.23100000000000001</v>
      </c>
    </row>
    <row r="817" spans="1:4" x14ac:dyDescent="0.3">
      <c r="A817">
        <v>5</v>
      </c>
      <c r="B817">
        <f>COUNTIFS($A$2:A817,A817,$C$2:C817,"conf_1")</f>
        <v>8</v>
      </c>
      <c r="C817" t="s">
        <v>18</v>
      </c>
      <c r="D817">
        <v>8.1000000000000003E-2</v>
      </c>
    </row>
    <row r="818" spans="1:4" x14ac:dyDescent="0.3">
      <c r="A818">
        <v>5</v>
      </c>
      <c r="B818">
        <f>COUNTIFS($A$2:A818,A818,$C$2:C818,"conf_1")</f>
        <v>8</v>
      </c>
      <c r="C818" t="s">
        <v>19</v>
      </c>
      <c r="D818">
        <v>0.68100000000000005</v>
      </c>
    </row>
    <row r="819" spans="1:4" x14ac:dyDescent="0.3">
      <c r="A819">
        <v>5</v>
      </c>
      <c r="B819">
        <f>COUNTIFS($A$2:A819,A819,$C$2:C819,"conf_1")</f>
        <v>8</v>
      </c>
      <c r="C819" t="s">
        <v>20</v>
      </c>
      <c r="D819">
        <v>0.70799999999999996</v>
      </c>
    </row>
    <row r="820" spans="1:4" x14ac:dyDescent="0.3">
      <c r="A820">
        <v>5</v>
      </c>
      <c r="B820">
        <f>COUNTIFS($A$2:A820,A820,$C$2:C820,"conf_1")</f>
        <v>8</v>
      </c>
      <c r="C820" t="s">
        <v>21</v>
      </c>
      <c r="D820">
        <v>0.108</v>
      </c>
    </row>
    <row r="821" spans="1:4" x14ac:dyDescent="0.3">
      <c r="A821">
        <v>5</v>
      </c>
      <c r="B821">
        <f>COUNTIFS($A$2:A821,A821,$C$2:C821,"conf_1")</f>
        <v>8</v>
      </c>
      <c r="C821" t="s">
        <v>22</v>
      </c>
      <c r="D821">
        <v>0.06</v>
      </c>
    </row>
    <row r="822" spans="1:4" x14ac:dyDescent="0.3">
      <c r="A822">
        <v>5</v>
      </c>
      <c r="B822">
        <f>COUNTIFS($A$2:A822,A822,$C$2:C822,"conf_1")</f>
        <v>9</v>
      </c>
      <c r="C822" t="s">
        <v>3</v>
      </c>
      <c r="D822">
        <v>0.71699999999999997</v>
      </c>
    </row>
    <row r="823" spans="1:4" x14ac:dyDescent="0.3">
      <c r="A823">
        <v>5</v>
      </c>
      <c r="B823">
        <f>COUNTIFS($A$2:A823,A823,$C$2:C823,"conf_1")</f>
        <v>9</v>
      </c>
      <c r="C823" t="s">
        <v>4</v>
      </c>
      <c r="D823">
        <v>0.64500000000000002</v>
      </c>
    </row>
    <row r="824" spans="1:4" x14ac:dyDescent="0.3">
      <c r="A824">
        <v>5</v>
      </c>
      <c r="B824">
        <f>COUNTIFS($A$2:A824,A824,$C$2:C824,"conf_1")</f>
        <v>9</v>
      </c>
      <c r="C824" t="s">
        <v>5</v>
      </c>
      <c r="D824">
        <v>0.65700000000000003</v>
      </c>
    </row>
    <row r="825" spans="1:4" x14ac:dyDescent="0.3">
      <c r="A825">
        <v>5</v>
      </c>
      <c r="B825">
        <f>COUNTIFS($A$2:A825,A825,$C$2:C825,"conf_1")</f>
        <v>9</v>
      </c>
      <c r="C825" t="s">
        <v>6</v>
      </c>
      <c r="D825">
        <v>0.63900000000000001</v>
      </c>
    </row>
    <row r="826" spans="1:4" x14ac:dyDescent="0.3">
      <c r="A826">
        <v>5</v>
      </c>
      <c r="B826">
        <f>COUNTIFS($A$2:A826,A826,$C$2:C826,"conf_1")</f>
        <v>9</v>
      </c>
      <c r="C826" t="s">
        <v>7</v>
      </c>
      <c r="D826">
        <v>0.67100000000000004</v>
      </c>
    </row>
    <row r="827" spans="1:4" x14ac:dyDescent="0.3">
      <c r="A827">
        <v>5</v>
      </c>
      <c r="B827">
        <f>COUNTIFS($A$2:A827,A827,$C$2:C827,"conf_1")</f>
        <v>9</v>
      </c>
      <c r="C827" t="s">
        <v>8</v>
      </c>
      <c r="D827">
        <v>0.63500000000000001</v>
      </c>
    </row>
    <row r="828" spans="1:4" x14ac:dyDescent="0.3">
      <c r="A828">
        <v>5</v>
      </c>
      <c r="B828">
        <f>COUNTIFS($A$2:A828,A828,$C$2:C828,"conf_1")</f>
        <v>9</v>
      </c>
      <c r="C828" t="s">
        <v>9</v>
      </c>
      <c r="D828">
        <v>0.217</v>
      </c>
    </row>
    <row r="829" spans="1:4" x14ac:dyDescent="0.3">
      <c r="A829">
        <v>5</v>
      </c>
      <c r="B829">
        <f>COUNTIFS($A$2:A829,A829,$C$2:C829,"conf_1")</f>
        <v>9</v>
      </c>
      <c r="C829" t="s">
        <v>10</v>
      </c>
      <c r="D829">
        <v>0.71299999999999997</v>
      </c>
    </row>
    <row r="830" spans="1:4" x14ac:dyDescent="0.3">
      <c r="A830">
        <v>5</v>
      </c>
      <c r="B830">
        <f>COUNTIFS($A$2:A830,A830,$C$2:C830,"conf_1")</f>
        <v>9</v>
      </c>
      <c r="C830" t="s">
        <v>11</v>
      </c>
      <c r="D830">
        <v>0.65100000000000002</v>
      </c>
    </row>
    <row r="831" spans="1:4" x14ac:dyDescent="0.3">
      <c r="A831">
        <v>5</v>
      </c>
      <c r="B831">
        <f>COUNTIFS($A$2:A831,A831,$C$2:C831,"conf_1")</f>
        <v>9</v>
      </c>
      <c r="C831" t="s">
        <v>12</v>
      </c>
      <c r="D831">
        <v>0.71699999999999997</v>
      </c>
    </row>
    <row r="832" spans="1:4" x14ac:dyDescent="0.3">
      <c r="A832">
        <v>5</v>
      </c>
      <c r="B832">
        <f>COUNTIFS($A$2:A832,A832,$C$2:C832,"conf_1")</f>
        <v>9</v>
      </c>
      <c r="C832" t="s">
        <v>13</v>
      </c>
      <c r="D832">
        <v>0.69799999999999995</v>
      </c>
    </row>
    <row r="833" spans="1:4" x14ac:dyDescent="0.3">
      <c r="A833">
        <v>5</v>
      </c>
      <c r="B833">
        <f>COUNTIFS($A$2:A833,A833,$C$2:C833,"conf_1")</f>
        <v>9</v>
      </c>
      <c r="C833" t="s">
        <v>14</v>
      </c>
      <c r="D833">
        <v>6.3E-2</v>
      </c>
    </row>
    <row r="834" spans="1:4" x14ac:dyDescent="0.3">
      <c r="A834">
        <v>5</v>
      </c>
      <c r="B834">
        <f>COUNTIFS($A$2:A834,A834,$C$2:C834,"conf_1")</f>
        <v>9</v>
      </c>
      <c r="C834" t="s">
        <v>15</v>
      </c>
      <c r="D834">
        <v>0.73199999999999998</v>
      </c>
    </row>
    <row r="835" spans="1:4" x14ac:dyDescent="0.3">
      <c r="A835">
        <v>5</v>
      </c>
      <c r="B835">
        <f>COUNTIFS($A$2:A835,A835,$C$2:C835,"conf_1")</f>
        <v>9</v>
      </c>
      <c r="C835" t="s">
        <v>16</v>
      </c>
      <c r="D835">
        <v>0.112</v>
      </c>
    </row>
    <row r="836" spans="1:4" x14ac:dyDescent="0.3">
      <c r="A836">
        <v>5</v>
      </c>
      <c r="B836">
        <f>COUNTIFS($A$2:A836,A836,$C$2:C836,"conf_1")</f>
        <v>9</v>
      </c>
      <c r="C836" t="s">
        <v>17</v>
      </c>
      <c r="D836">
        <v>0.22900000000000001</v>
      </c>
    </row>
    <row r="837" spans="1:4" x14ac:dyDescent="0.3">
      <c r="A837">
        <v>5</v>
      </c>
      <c r="B837">
        <f>COUNTIFS($A$2:A837,A837,$C$2:C837,"conf_1")</f>
        <v>9</v>
      </c>
      <c r="C837" t="s">
        <v>18</v>
      </c>
      <c r="D837">
        <v>8.3000000000000004E-2</v>
      </c>
    </row>
    <row r="838" spans="1:4" x14ac:dyDescent="0.3">
      <c r="A838">
        <v>5</v>
      </c>
      <c r="B838">
        <f>COUNTIFS($A$2:A838,A838,$C$2:C838,"conf_1")</f>
        <v>9</v>
      </c>
      <c r="C838" t="s">
        <v>19</v>
      </c>
      <c r="D838">
        <v>0.68</v>
      </c>
    </row>
    <row r="839" spans="1:4" x14ac:dyDescent="0.3">
      <c r="A839">
        <v>5</v>
      </c>
      <c r="B839">
        <f>COUNTIFS($A$2:A839,A839,$C$2:C839,"conf_1")</f>
        <v>9</v>
      </c>
      <c r="C839" t="s">
        <v>20</v>
      </c>
      <c r="D839">
        <v>0.70599999999999996</v>
      </c>
    </row>
    <row r="840" spans="1:4" x14ac:dyDescent="0.3">
      <c r="A840">
        <v>5</v>
      </c>
      <c r="B840">
        <f>COUNTIFS($A$2:A840,A840,$C$2:C840,"conf_1")</f>
        <v>9</v>
      </c>
      <c r="C840" t="s">
        <v>21</v>
      </c>
      <c r="D840">
        <v>0.109</v>
      </c>
    </row>
    <row r="841" spans="1:4" x14ac:dyDescent="0.3">
      <c r="A841">
        <v>5</v>
      </c>
      <c r="B841">
        <f>COUNTIFS($A$2:A841,A841,$C$2:C841,"conf_1")</f>
        <v>9</v>
      </c>
      <c r="C841" t="s">
        <v>22</v>
      </c>
      <c r="D841">
        <v>0.06</v>
      </c>
    </row>
    <row r="842" spans="1:4" x14ac:dyDescent="0.3">
      <c r="A842">
        <v>5</v>
      </c>
      <c r="B842">
        <f>COUNTIFS($A$2:A842,A842,$C$2:C842,"conf_1")</f>
        <v>10</v>
      </c>
      <c r="C842" t="s">
        <v>3</v>
      </c>
      <c r="D842">
        <v>0.71499999999999997</v>
      </c>
    </row>
    <row r="843" spans="1:4" x14ac:dyDescent="0.3">
      <c r="A843">
        <v>5</v>
      </c>
      <c r="B843">
        <f>COUNTIFS($A$2:A843,A843,$C$2:C843,"conf_1")</f>
        <v>10</v>
      </c>
      <c r="C843" t="s">
        <v>4</v>
      </c>
      <c r="D843">
        <v>0.64400000000000002</v>
      </c>
    </row>
    <row r="844" spans="1:4" x14ac:dyDescent="0.3">
      <c r="A844">
        <v>5</v>
      </c>
      <c r="B844">
        <f>COUNTIFS($A$2:A844,A844,$C$2:C844,"conf_1")</f>
        <v>10</v>
      </c>
      <c r="C844" t="s">
        <v>5</v>
      </c>
      <c r="D844">
        <v>0.65500000000000003</v>
      </c>
    </row>
    <row r="845" spans="1:4" x14ac:dyDescent="0.3">
      <c r="A845">
        <v>5</v>
      </c>
      <c r="B845">
        <f>COUNTIFS($A$2:A845,A845,$C$2:C845,"conf_1")</f>
        <v>10</v>
      </c>
      <c r="C845" t="s">
        <v>6</v>
      </c>
      <c r="D845">
        <v>0.63800000000000001</v>
      </c>
    </row>
    <row r="846" spans="1:4" x14ac:dyDescent="0.3">
      <c r="A846">
        <v>5</v>
      </c>
      <c r="B846">
        <f>COUNTIFS($A$2:A846,A846,$C$2:C846,"conf_1")</f>
        <v>10</v>
      </c>
      <c r="C846" t="s">
        <v>7</v>
      </c>
      <c r="D846">
        <v>0.67</v>
      </c>
    </row>
    <row r="847" spans="1:4" x14ac:dyDescent="0.3">
      <c r="A847">
        <v>5</v>
      </c>
      <c r="B847">
        <f>COUNTIFS($A$2:A847,A847,$C$2:C847,"conf_1")</f>
        <v>10</v>
      </c>
      <c r="C847" t="s">
        <v>8</v>
      </c>
      <c r="D847">
        <v>0.63400000000000001</v>
      </c>
    </row>
    <row r="848" spans="1:4" x14ac:dyDescent="0.3">
      <c r="A848">
        <v>5</v>
      </c>
      <c r="B848">
        <f>COUNTIFS($A$2:A848,A848,$C$2:C848,"conf_1")</f>
        <v>10</v>
      </c>
      <c r="C848" t="s">
        <v>9</v>
      </c>
      <c r="D848">
        <v>0.21299999999999999</v>
      </c>
    </row>
    <row r="849" spans="1:4" x14ac:dyDescent="0.3">
      <c r="A849">
        <v>5</v>
      </c>
      <c r="B849">
        <f>COUNTIFS($A$2:A849,A849,$C$2:C849,"conf_1")</f>
        <v>10</v>
      </c>
      <c r="C849" t="s">
        <v>10</v>
      </c>
      <c r="D849">
        <v>0.71199999999999997</v>
      </c>
    </row>
    <row r="850" spans="1:4" x14ac:dyDescent="0.3">
      <c r="A850">
        <v>5</v>
      </c>
      <c r="B850">
        <f>COUNTIFS($A$2:A850,A850,$C$2:C850,"conf_1")</f>
        <v>10</v>
      </c>
      <c r="C850" t="s">
        <v>11</v>
      </c>
      <c r="D850">
        <v>0.65</v>
      </c>
    </row>
    <row r="851" spans="1:4" x14ac:dyDescent="0.3">
      <c r="A851">
        <v>5</v>
      </c>
      <c r="B851">
        <f>COUNTIFS($A$2:A851,A851,$C$2:C851,"conf_1")</f>
        <v>10</v>
      </c>
      <c r="C851" t="s">
        <v>12</v>
      </c>
      <c r="D851">
        <v>0.71499999999999997</v>
      </c>
    </row>
    <row r="852" spans="1:4" x14ac:dyDescent="0.3">
      <c r="A852">
        <v>5</v>
      </c>
      <c r="B852">
        <f>COUNTIFS($A$2:A852,A852,$C$2:C852,"conf_1")</f>
        <v>10</v>
      </c>
      <c r="C852" t="s">
        <v>13</v>
      </c>
      <c r="D852">
        <v>0.69599999999999995</v>
      </c>
    </row>
    <row r="853" spans="1:4" x14ac:dyDescent="0.3">
      <c r="A853">
        <v>5</v>
      </c>
      <c r="B853">
        <f>COUNTIFS($A$2:A853,A853,$C$2:C853,"conf_1")</f>
        <v>10</v>
      </c>
      <c r="C853" t="s">
        <v>14</v>
      </c>
      <c r="D853">
        <v>0.06</v>
      </c>
    </row>
    <row r="854" spans="1:4" x14ac:dyDescent="0.3">
      <c r="A854">
        <v>5</v>
      </c>
      <c r="B854">
        <f>COUNTIFS($A$2:A854,A854,$C$2:C854,"conf_1")</f>
        <v>10</v>
      </c>
      <c r="C854" t="s">
        <v>15</v>
      </c>
      <c r="D854">
        <v>0.73</v>
      </c>
    </row>
    <row r="855" spans="1:4" x14ac:dyDescent="0.3">
      <c r="A855">
        <v>5</v>
      </c>
      <c r="B855">
        <f>COUNTIFS($A$2:A855,A855,$C$2:C855,"conf_1")</f>
        <v>10</v>
      </c>
      <c r="C855" t="s">
        <v>16</v>
      </c>
      <c r="D855">
        <v>0.109</v>
      </c>
    </row>
    <row r="856" spans="1:4" x14ac:dyDescent="0.3">
      <c r="A856">
        <v>5</v>
      </c>
      <c r="B856">
        <f>COUNTIFS($A$2:A856,A856,$C$2:C856,"conf_1")</f>
        <v>10</v>
      </c>
      <c r="C856" t="s">
        <v>17</v>
      </c>
      <c r="D856">
        <v>0.22600000000000001</v>
      </c>
    </row>
    <row r="857" spans="1:4" x14ac:dyDescent="0.3">
      <c r="A857">
        <v>5</v>
      </c>
      <c r="B857">
        <f>COUNTIFS($A$2:A857,A857,$C$2:C857,"conf_1")</f>
        <v>10</v>
      </c>
      <c r="C857" t="s">
        <v>18</v>
      </c>
      <c r="D857">
        <v>8.5000000000000006E-2</v>
      </c>
    </row>
    <row r="858" spans="1:4" x14ac:dyDescent="0.3">
      <c r="A858">
        <v>5</v>
      </c>
      <c r="B858">
        <f>COUNTIFS($A$2:A858,A858,$C$2:C858,"conf_1")</f>
        <v>10</v>
      </c>
      <c r="C858" t="s">
        <v>19</v>
      </c>
      <c r="D858">
        <v>0.67900000000000005</v>
      </c>
    </row>
    <row r="859" spans="1:4" x14ac:dyDescent="0.3">
      <c r="A859">
        <v>5</v>
      </c>
      <c r="B859">
        <f>COUNTIFS($A$2:A859,A859,$C$2:C859,"conf_1")</f>
        <v>10</v>
      </c>
      <c r="C859" t="s">
        <v>20</v>
      </c>
      <c r="D859">
        <v>0.70499999999999996</v>
      </c>
    </row>
    <row r="860" spans="1:4" x14ac:dyDescent="0.3">
      <c r="A860">
        <v>5</v>
      </c>
      <c r="B860">
        <f>COUNTIFS($A$2:A860,A860,$C$2:C860,"conf_1")</f>
        <v>10</v>
      </c>
      <c r="C860" t="s">
        <v>21</v>
      </c>
      <c r="D860">
        <v>0.111</v>
      </c>
    </row>
    <row r="861" spans="1:4" x14ac:dyDescent="0.3">
      <c r="A861">
        <v>5</v>
      </c>
      <c r="B861">
        <f>COUNTIFS($A$2:A861,A861,$C$2:C861,"conf_1")</f>
        <v>10</v>
      </c>
      <c r="C861" t="s">
        <v>22</v>
      </c>
      <c r="D861">
        <v>6.0999999999999999E-2</v>
      </c>
    </row>
    <row r="862" spans="1:4" x14ac:dyDescent="0.3">
      <c r="A862">
        <v>6</v>
      </c>
      <c r="B862">
        <f>COUNTIFS($A$2:A862,A862,$C$2:C862,"conf_1")</f>
        <v>1</v>
      </c>
      <c r="C862" t="s">
        <v>3</v>
      </c>
      <c r="D862">
        <v>0.65</v>
      </c>
    </row>
    <row r="863" spans="1:4" x14ac:dyDescent="0.3">
      <c r="A863">
        <v>6</v>
      </c>
      <c r="B863">
        <f>COUNTIFS($A$2:A863,A863,$C$2:C863,"conf_1")</f>
        <v>1</v>
      </c>
      <c r="C863" t="s">
        <v>4</v>
      </c>
      <c r="D863">
        <v>0.60399999999999998</v>
      </c>
    </row>
    <row r="864" spans="1:4" x14ac:dyDescent="0.3">
      <c r="A864">
        <v>6</v>
      </c>
      <c r="B864">
        <f>COUNTIFS($A$2:A864,A864,$C$2:C864,"conf_1")</f>
        <v>1</v>
      </c>
      <c r="C864" t="s">
        <v>5</v>
      </c>
      <c r="D864">
        <v>0.60799999999999998</v>
      </c>
    </row>
    <row r="865" spans="1:4" x14ac:dyDescent="0.3">
      <c r="A865">
        <v>6</v>
      </c>
      <c r="B865">
        <f>COUNTIFS($A$2:A865,A865,$C$2:C865,"conf_1")</f>
        <v>1</v>
      </c>
      <c r="C865" t="s">
        <v>6</v>
      </c>
      <c r="D865">
        <v>0.6</v>
      </c>
    </row>
    <row r="866" spans="1:4" x14ac:dyDescent="0.3">
      <c r="A866">
        <v>6</v>
      </c>
      <c r="B866">
        <f>COUNTIFS($A$2:A866,A866,$C$2:C866,"conf_1")</f>
        <v>1</v>
      </c>
      <c r="C866" t="s">
        <v>7</v>
      </c>
      <c r="D866">
        <v>0.61699999999999999</v>
      </c>
    </row>
    <row r="867" spans="1:4" x14ac:dyDescent="0.3">
      <c r="A867">
        <v>6</v>
      </c>
      <c r="B867">
        <f>COUNTIFS($A$2:A867,A867,$C$2:C867,"conf_1")</f>
        <v>1</v>
      </c>
      <c r="C867" t="s">
        <v>8</v>
      </c>
      <c r="D867">
        <v>0.60299999999999998</v>
      </c>
    </row>
    <row r="868" spans="1:4" x14ac:dyDescent="0.3">
      <c r="A868">
        <v>6</v>
      </c>
      <c r="B868">
        <f>COUNTIFS($A$2:A868,A868,$C$2:C868,"conf_1")</f>
        <v>1</v>
      </c>
      <c r="C868" t="s">
        <v>9</v>
      </c>
      <c r="D868">
        <v>0.123</v>
      </c>
    </row>
    <row r="869" spans="1:4" x14ac:dyDescent="0.3">
      <c r="A869">
        <v>6</v>
      </c>
      <c r="B869">
        <f>COUNTIFS($A$2:A869,A869,$C$2:C869,"conf_1")</f>
        <v>1</v>
      </c>
      <c r="C869" t="s">
        <v>10</v>
      </c>
      <c r="D869">
        <v>0.42699999999999999</v>
      </c>
    </row>
    <row r="870" spans="1:4" x14ac:dyDescent="0.3">
      <c r="A870">
        <v>6</v>
      </c>
      <c r="B870">
        <f>COUNTIFS($A$2:A870,A870,$C$2:C870,"conf_1")</f>
        <v>1</v>
      </c>
      <c r="C870" t="s">
        <v>11</v>
      </c>
      <c r="D870">
        <v>0.60399999999999998</v>
      </c>
    </row>
    <row r="871" spans="1:4" x14ac:dyDescent="0.3">
      <c r="A871">
        <v>6</v>
      </c>
      <c r="B871">
        <f>COUNTIFS($A$2:A871,A871,$C$2:C871,"conf_1")</f>
        <v>1</v>
      </c>
      <c r="C871" t="s">
        <v>12</v>
      </c>
      <c r="D871">
        <v>0.436</v>
      </c>
    </row>
    <row r="872" spans="1:4" x14ac:dyDescent="0.3">
      <c r="A872">
        <v>6</v>
      </c>
      <c r="B872">
        <f>COUNTIFS($A$2:A872,A872,$C$2:C872,"conf_1")</f>
        <v>1</v>
      </c>
      <c r="C872" t="s">
        <v>13</v>
      </c>
      <c r="D872">
        <v>0.63400000000000001</v>
      </c>
    </row>
    <row r="873" spans="1:4" x14ac:dyDescent="0.3">
      <c r="A873">
        <v>6</v>
      </c>
      <c r="B873">
        <f>COUNTIFS($A$2:A873,A873,$C$2:C873,"conf_1")</f>
        <v>1</v>
      </c>
      <c r="C873" t="s">
        <v>14</v>
      </c>
      <c r="D873">
        <v>0.129</v>
      </c>
    </row>
    <row r="874" spans="1:4" x14ac:dyDescent="0.3">
      <c r="A874">
        <v>6</v>
      </c>
      <c r="B874">
        <f>COUNTIFS($A$2:A874,A874,$C$2:C874,"conf_1")</f>
        <v>1</v>
      </c>
      <c r="C874" t="s">
        <v>15</v>
      </c>
      <c r="D874">
        <v>0.66500000000000004</v>
      </c>
    </row>
    <row r="875" spans="1:4" x14ac:dyDescent="0.3">
      <c r="A875">
        <v>6</v>
      </c>
      <c r="B875">
        <f>COUNTIFS($A$2:A875,A875,$C$2:C875,"conf_1")</f>
        <v>1</v>
      </c>
      <c r="C875" t="s">
        <v>16</v>
      </c>
      <c r="D875">
        <v>5.3999999999999999E-2</v>
      </c>
    </row>
    <row r="876" spans="1:4" x14ac:dyDescent="0.3">
      <c r="A876">
        <v>6</v>
      </c>
      <c r="B876">
        <f>COUNTIFS($A$2:A876,A876,$C$2:C876,"conf_1")</f>
        <v>1</v>
      </c>
      <c r="C876" t="s">
        <v>17</v>
      </c>
      <c r="D876">
        <v>0.153</v>
      </c>
    </row>
    <row r="877" spans="1:4" x14ac:dyDescent="0.3">
      <c r="A877">
        <v>6</v>
      </c>
      <c r="B877">
        <f>COUNTIFS($A$2:A877,A877,$C$2:C877,"conf_1")</f>
        <v>1</v>
      </c>
      <c r="C877" t="s">
        <v>18</v>
      </c>
      <c r="D877">
        <v>0.21099999999999999</v>
      </c>
    </row>
    <row r="878" spans="1:4" x14ac:dyDescent="0.3">
      <c r="A878">
        <v>6</v>
      </c>
      <c r="B878">
        <f>COUNTIFS($A$2:A878,A878,$C$2:C878,"conf_1")</f>
        <v>1</v>
      </c>
      <c r="C878" t="s">
        <v>19</v>
      </c>
      <c r="D878">
        <v>0.41099999999999998</v>
      </c>
    </row>
    <row r="879" spans="1:4" x14ac:dyDescent="0.3">
      <c r="A879">
        <v>6</v>
      </c>
      <c r="B879">
        <f>COUNTIFS($A$2:A879,A879,$C$2:C879,"conf_1")</f>
        <v>1</v>
      </c>
      <c r="C879" t="s">
        <v>20</v>
      </c>
      <c r="D879">
        <v>0.42699999999999999</v>
      </c>
    </row>
    <row r="880" spans="1:4" x14ac:dyDescent="0.3">
      <c r="A880">
        <v>6</v>
      </c>
      <c r="B880">
        <f>COUNTIFS($A$2:A880,A880,$C$2:C880,"conf_1")</f>
        <v>1</v>
      </c>
      <c r="C880" t="s">
        <v>21</v>
      </c>
      <c r="D880">
        <v>0.224</v>
      </c>
    </row>
    <row r="881" spans="1:4" x14ac:dyDescent="0.3">
      <c r="A881">
        <v>6</v>
      </c>
      <c r="B881">
        <f>COUNTIFS($A$2:A881,A881,$C$2:C881,"conf_1")</f>
        <v>1</v>
      </c>
      <c r="C881" t="s">
        <v>22</v>
      </c>
      <c r="D881">
        <v>0.158</v>
      </c>
    </row>
    <row r="882" spans="1:4" x14ac:dyDescent="0.3">
      <c r="A882">
        <v>6</v>
      </c>
      <c r="B882">
        <f>COUNTIFS($A$2:A882,A882,$C$2:C882,"conf_1")</f>
        <v>2</v>
      </c>
      <c r="C882" t="s">
        <v>3</v>
      </c>
      <c r="D882">
        <v>0.65400000000000003</v>
      </c>
    </row>
    <row r="883" spans="1:4" x14ac:dyDescent="0.3">
      <c r="A883">
        <v>6</v>
      </c>
      <c r="B883">
        <f>COUNTIFS($A$2:A883,A883,$C$2:C883,"conf_1")</f>
        <v>2</v>
      </c>
      <c r="C883" t="s">
        <v>4</v>
      </c>
      <c r="D883">
        <v>0.60499999999999998</v>
      </c>
    </row>
    <row r="884" spans="1:4" x14ac:dyDescent="0.3">
      <c r="A884">
        <v>6</v>
      </c>
      <c r="B884">
        <f>COUNTIFS($A$2:A884,A884,$C$2:C884,"conf_1")</f>
        <v>2</v>
      </c>
      <c r="C884" t="s">
        <v>5</v>
      </c>
      <c r="D884">
        <v>0.60899999999999999</v>
      </c>
    </row>
    <row r="885" spans="1:4" x14ac:dyDescent="0.3">
      <c r="A885">
        <v>6</v>
      </c>
      <c r="B885">
        <f>COUNTIFS($A$2:A885,A885,$C$2:C885,"conf_1")</f>
        <v>2</v>
      </c>
      <c r="C885" t="s">
        <v>6</v>
      </c>
      <c r="D885">
        <v>0.60099999999999998</v>
      </c>
    </row>
    <row r="886" spans="1:4" x14ac:dyDescent="0.3">
      <c r="A886">
        <v>6</v>
      </c>
      <c r="B886">
        <f>COUNTIFS($A$2:A886,A886,$C$2:C886,"conf_1")</f>
        <v>2</v>
      </c>
      <c r="C886" t="s">
        <v>7</v>
      </c>
      <c r="D886">
        <v>0.61899999999999999</v>
      </c>
    </row>
    <row r="887" spans="1:4" x14ac:dyDescent="0.3">
      <c r="A887">
        <v>6</v>
      </c>
      <c r="B887">
        <f>COUNTIFS($A$2:A887,A887,$C$2:C887,"conf_1")</f>
        <v>2</v>
      </c>
      <c r="C887" t="s">
        <v>8</v>
      </c>
      <c r="D887">
        <v>0.60299999999999998</v>
      </c>
    </row>
    <row r="888" spans="1:4" x14ac:dyDescent="0.3">
      <c r="A888">
        <v>6</v>
      </c>
      <c r="B888">
        <f>COUNTIFS($A$2:A888,A888,$C$2:C888,"conf_1")</f>
        <v>2</v>
      </c>
      <c r="C888" t="s">
        <v>9</v>
      </c>
      <c r="D888">
        <v>0.129</v>
      </c>
    </row>
    <row r="889" spans="1:4" x14ac:dyDescent="0.3">
      <c r="A889">
        <v>6</v>
      </c>
      <c r="B889">
        <f>COUNTIFS($A$2:A889,A889,$C$2:C889,"conf_1")</f>
        <v>2</v>
      </c>
      <c r="C889" t="s">
        <v>10</v>
      </c>
      <c r="D889">
        <v>0.432</v>
      </c>
    </row>
    <row r="890" spans="1:4" x14ac:dyDescent="0.3">
      <c r="A890">
        <v>6</v>
      </c>
      <c r="B890">
        <f>COUNTIFS($A$2:A890,A890,$C$2:C890,"conf_1")</f>
        <v>2</v>
      </c>
      <c r="C890" t="s">
        <v>11</v>
      </c>
      <c r="D890">
        <v>0.60499999999999998</v>
      </c>
    </row>
    <row r="891" spans="1:4" x14ac:dyDescent="0.3">
      <c r="A891">
        <v>6</v>
      </c>
      <c r="B891">
        <f>COUNTIFS($A$2:A891,A891,$C$2:C891,"conf_1")</f>
        <v>2</v>
      </c>
      <c r="C891" t="s">
        <v>12</v>
      </c>
      <c r="D891">
        <v>0.65200000000000002</v>
      </c>
    </row>
    <row r="892" spans="1:4" x14ac:dyDescent="0.3">
      <c r="A892">
        <v>6</v>
      </c>
      <c r="B892">
        <f>COUNTIFS($A$2:A892,A892,$C$2:C892,"conf_1")</f>
        <v>2</v>
      </c>
      <c r="C892" t="s">
        <v>13</v>
      </c>
      <c r="D892">
        <v>0.63700000000000001</v>
      </c>
    </row>
    <row r="893" spans="1:4" x14ac:dyDescent="0.3">
      <c r="A893">
        <v>6</v>
      </c>
      <c r="B893">
        <f>COUNTIFS($A$2:A893,A893,$C$2:C893,"conf_1")</f>
        <v>2</v>
      </c>
      <c r="C893" t="s">
        <v>14</v>
      </c>
      <c r="D893">
        <v>0.121</v>
      </c>
    </row>
    <row r="894" spans="1:4" x14ac:dyDescent="0.3">
      <c r="A894">
        <v>6</v>
      </c>
      <c r="B894">
        <f>COUNTIFS($A$2:A894,A894,$C$2:C894,"conf_1")</f>
        <v>2</v>
      </c>
      <c r="C894" t="s">
        <v>15</v>
      </c>
      <c r="D894">
        <v>0.66900000000000004</v>
      </c>
    </row>
    <row r="895" spans="1:4" x14ac:dyDescent="0.3">
      <c r="A895">
        <v>6</v>
      </c>
      <c r="B895">
        <f>COUNTIFS($A$2:A895,A895,$C$2:C895,"conf_1")</f>
        <v>2</v>
      </c>
      <c r="C895" t="s">
        <v>16</v>
      </c>
      <c r="D895">
        <v>5.1999999999999998E-2</v>
      </c>
    </row>
    <row r="896" spans="1:4" x14ac:dyDescent="0.3">
      <c r="A896">
        <v>6</v>
      </c>
      <c r="B896">
        <f>COUNTIFS($A$2:A896,A896,$C$2:C896,"conf_1")</f>
        <v>2</v>
      </c>
      <c r="C896" t="s">
        <v>17</v>
      </c>
      <c r="D896">
        <v>0.158</v>
      </c>
    </row>
    <row r="897" spans="1:4" x14ac:dyDescent="0.3">
      <c r="A897">
        <v>6</v>
      </c>
      <c r="B897">
        <f>COUNTIFS($A$2:A897,A897,$C$2:C897,"conf_1")</f>
        <v>2</v>
      </c>
      <c r="C897" t="s">
        <v>18</v>
      </c>
      <c r="D897">
        <v>0.20100000000000001</v>
      </c>
    </row>
    <row r="898" spans="1:4" x14ac:dyDescent="0.3">
      <c r="A898">
        <v>6</v>
      </c>
      <c r="B898">
        <f>COUNTIFS($A$2:A898,A898,$C$2:C898,"conf_1")</f>
        <v>2</v>
      </c>
      <c r="C898" t="s">
        <v>19</v>
      </c>
      <c r="D898">
        <v>0.41499999999999998</v>
      </c>
    </row>
    <row r="899" spans="1:4" x14ac:dyDescent="0.3">
      <c r="A899">
        <v>6</v>
      </c>
      <c r="B899">
        <f>COUNTIFS($A$2:A899,A899,$C$2:C899,"conf_1")</f>
        <v>2</v>
      </c>
      <c r="C899" t="s">
        <v>20</v>
      </c>
      <c r="D899">
        <v>0.43099999999999999</v>
      </c>
    </row>
    <row r="900" spans="1:4" x14ac:dyDescent="0.3">
      <c r="A900">
        <v>6</v>
      </c>
      <c r="B900">
        <f>COUNTIFS($A$2:A900,A900,$C$2:C900,"conf_1")</f>
        <v>2</v>
      </c>
      <c r="C900" t="s">
        <v>21</v>
      </c>
      <c r="D900">
        <v>0.215</v>
      </c>
    </row>
    <row r="901" spans="1:4" x14ac:dyDescent="0.3">
      <c r="A901">
        <v>6</v>
      </c>
      <c r="B901">
        <f>COUNTIFS($A$2:A901,A901,$C$2:C901,"conf_1")</f>
        <v>2</v>
      </c>
      <c r="C901" t="s">
        <v>22</v>
      </c>
      <c r="D901">
        <v>0.14899999999999999</v>
      </c>
    </row>
    <row r="902" spans="1:4" x14ac:dyDescent="0.3">
      <c r="A902">
        <v>6</v>
      </c>
      <c r="B902">
        <f>COUNTIFS($A$2:A902,A902,$C$2:C902,"conf_1")</f>
        <v>3</v>
      </c>
      <c r="C902" t="s">
        <v>3</v>
      </c>
      <c r="D902">
        <v>0.436</v>
      </c>
    </row>
    <row r="903" spans="1:4" x14ac:dyDescent="0.3">
      <c r="A903">
        <v>6</v>
      </c>
      <c r="B903">
        <f>COUNTIFS($A$2:A903,A903,$C$2:C903,"conf_1")</f>
        <v>3</v>
      </c>
      <c r="C903" t="s">
        <v>4</v>
      </c>
      <c r="D903">
        <v>0.60399999999999998</v>
      </c>
    </row>
    <row r="904" spans="1:4" x14ac:dyDescent="0.3">
      <c r="A904">
        <v>6</v>
      </c>
      <c r="B904">
        <f>COUNTIFS($A$2:A904,A904,$C$2:C904,"conf_1")</f>
        <v>3</v>
      </c>
      <c r="C904" t="s">
        <v>5</v>
      </c>
      <c r="D904">
        <v>0.60699999999999998</v>
      </c>
    </row>
    <row r="905" spans="1:4" x14ac:dyDescent="0.3">
      <c r="A905">
        <v>6</v>
      </c>
      <c r="B905">
        <f>COUNTIFS($A$2:A905,A905,$C$2:C905,"conf_1")</f>
        <v>3</v>
      </c>
      <c r="C905" t="s">
        <v>6</v>
      </c>
      <c r="D905">
        <v>0.6</v>
      </c>
    </row>
    <row r="906" spans="1:4" x14ac:dyDescent="0.3">
      <c r="A906">
        <v>6</v>
      </c>
      <c r="B906">
        <f>COUNTIFS($A$2:A906,A906,$C$2:C906,"conf_1")</f>
        <v>3</v>
      </c>
      <c r="C906" t="s">
        <v>7</v>
      </c>
      <c r="D906">
        <v>0.61599999999999999</v>
      </c>
    </row>
    <row r="907" spans="1:4" x14ac:dyDescent="0.3">
      <c r="A907">
        <v>6</v>
      </c>
      <c r="B907">
        <f>COUNTIFS($A$2:A907,A907,$C$2:C907,"conf_1")</f>
        <v>3</v>
      </c>
      <c r="C907" t="s">
        <v>8</v>
      </c>
      <c r="D907">
        <v>0.60199999999999998</v>
      </c>
    </row>
    <row r="908" spans="1:4" x14ac:dyDescent="0.3">
      <c r="A908">
        <v>6</v>
      </c>
      <c r="B908">
        <f>COUNTIFS($A$2:A908,A908,$C$2:C908,"conf_1")</f>
        <v>3</v>
      </c>
      <c r="C908" t="s">
        <v>9</v>
      </c>
      <c r="D908">
        <v>0.123</v>
      </c>
    </row>
    <row r="909" spans="1:4" x14ac:dyDescent="0.3">
      <c r="A909">
        <v>6</v>
      </c>
      <c r="B909">
        <f>COUNTIFS($A$2:A909,A909,$C$2:C909,"conf_1")</f>
        <v>3</v>
      </c>
      <c r="C909" t="s">
        <v>10</v>
      </c>
      <c r="D909">
        <v>0.42399999999999999</v>
      </c>
    </row>
    <row r="910" spans="1:4" x14ac:dyDescent="0.3">
      <c r="A910">
        <v>6</v>
      </c>
      <c r="B910">
        <f>COUNTIFS($A$2:A910,A910,$C$2:C910,"conf_1")</f>
        <v>3</v>
      </c>
      <c r="C910" t="s">
        <v>11</v>
      </c>
      <c r="D910">
        <v>0.60299999999999998</v>
      </c>
    </row>
    <row r="911" spans="1:4" x14ac:dyDescent="0.3">
      <c r="A911">
        <v>6</v>
      </c>
      <c r="B911">
        <f>COUNTIFS($A$2:A911,A911,$C$2:C911,"conf_1")</f>
        <v>3</v>
      </c>
      <c r="C911" t="s">
        <v>12</v>
      </c>
      <c r="D911">
        <v>0.432</v>
      </c>
    </row>
    <row r="912" spans="1:4" x14ac:dyDescent="0.3">
      <c r="A912">
        <v>6</v>
      </c>
      <c r="B912">
        <f>COUNTIFS($A$2:A912,A912,$C$2:C912,"conf_1")</f>
        <v>3</v>
      </c>
      <c r="C912" t="s">
        <v>13</v>
      </c>
      <c r="D912">
        <v>0.63300000000000001</v>
      </c>
    </row>
    <row r="913" spans="1:4" x14ac:dyDescent="0.3">
      <c r="A913">
        <v>6</v>
      </c>
      <c r="B913">
        <f>COUNTIFS($A$2:A913,A913,$C$2:C913,"conf_1")</f>
        <v>3</v>
      </c>
      <c r="C913" t="s">
        <v>14</v>
      </c>
      <c r="D913">
        <v>0.13300000000000001</v>
      </c>
    </row>
    <row r="914" spans="1:4" x14ac:dyDescent="0.3">
      <c r="A914">
        <v>6</v>
      </c>
      <c r="B914">
        <f>COUNTIFS($A$2:A914,A914,$C$2:C914,"conf_1")</f>
        <v>3</v>
      </c>
      <c r="C914" t="s">
        <v>15</v>
      </c>
      <c r="D914">
        <v>0.44900000000000001</v>
      </c>
    </row>
    <row r="915" spans="1:4" x14ac:dyDescent="0.3">
      <c r="A915">
        <v>6</v>
      </c>
      <c r="B915">
        <f>COUNTIFS($A$2:A915,A915,$C$2:C915,"conf_1")</f>
        <v>3</v>
      </c>
      <c r="C915" t="s">
        <v>16</v>
      </c>
      <c r="D915">
        <v>5.7000000000000002E-2</v>
      </c>
    </row>
    <row r="916" spans="1:4" x14ac:dyDescent="0.3">
      <c r="A916">
        <v>6</v>
      </c>
      <c r="B916">
        <f>COUNTIFS($A$2:A916,A916,$C$2:C916,"conf_1")</f>
        <v>3</v>
      </c>
      <c r="C916" t="s">
        <v>17</v>
      </c>
      <c r="D916">
        <v>0.152</v>
      </c>
    </row>
    <row r="917" spans="1:4" x14ac:dyDescent="0.3">
      <c r="A917">
        <v>6</v>
      </c>
      <c r="B917">
        <f>COUNTIFS($A$2:A917,A917,$C$2:C917,"conf_1")</f>
        <v>3</v>
      </c>
      <c r="C917" t="s">
        <v>18</v>
      </c>
      <c r="D917">
        <v>0.214</v>
      </c>
    </row>
    <row r="918" spans="1:4" x14ac:dyDescent="0.3">
      <c r="A918">
        <v>6</v>
      </c>
      <c r="B918">
        <f>COUNTIFS($A$2:A918,A918,$C$2:C918,"conf_1")</f>
        <v>3</v>
      </c>
      <c r="C918" t="s">
        <v>19</v>
      </c>
      <c r="D918">
        <v>0.40799999999999997</v>
      </c>
    </row>
    <row r="919" spans="1:4" x14ac:dyDescent="0.3">
      <c r="A919">
        <v>6</v>
      </c>
      <c r="B919">
        <f>COUNTIFS($A$2:A919,A919,$C$2:C919,"conf_1")</f>
        <v>3</v>
      </c>
      <c r="C919" t="s">
        <v>20</v>
      </c>
      <c r="D919">
        <v>0.42299999999999999</v>
      </c>
    </row>
    <row r="920" spans="1:4" x14ac:dyDescent="0.3">
      <c r="A920">
        <v>6</v>
      </c>
      <c r="B920">
        <f>COUNTIFS($A$2:A920,A920,$C$2:C920,"conf_1")</f>
        <v>3</v>
      </c>
      <c r="C920" t="s">
        <v>21</v>
      </c>
      <c r="D920">
        <v>0.22800000000000001</v>
      </c>
    </row>
    <row r="921" spans="1:4" x14ac:dyDescent="0.3">
      <c r="A921">
        <v>6</v>
      </c>
      <c r="B921">
        <f>COUNTIFS($A$2:A921,A921,$C$2:C921,"conf_1")</f>
        <v>3</v>
      </c>
      <c r="C921" t="s">
        <v>22</v>
      </c>
      <c r="D921">
        <v>0.161</v>
      </c>
    </row>
    <row r="922" spans="1:4" x14ac:dyDescent="0.3">
      <c r="A922">
        <v>6</v>
      </c>
      <c r="B922">
        <f>COUNTIFS($A$2:A922,A922,$C$2:C922,"conf_1")</f>
        <v>4</v>
      </c>
      <c r="C922" t="s">
        <v>3</v>
      </c>
      <c r="D922">
        <v>0.65400000000000003</v>
      </c>
    </row>
    <row r="923" spans="1:4" x14ac:dyDescent="0.3">
      <c r="A923">
        <v>6</v>
      </c>
      <c r="B923">
        <f>COUNTIFS($A$2:A923,A923,$C$2:C923,"conf_1")</f>
        <v>4</v>
      </c>
      <c r="C923" t="s">
        <v>4</v>
      </c>
      <c r="D923">
        <v>0.60499999999999998</v>
      </c>
    </row>
    <row r="924" spans="1:4" x14ac:dyDescent="0.3">
      <c r="A924">
        <v>6</v>
      </c>
      <c r="B924">
        <f>COUNTIFS($A$2:A924,A924,$C$2:C924,"conf_1")</f>
        <v>4</v>
      </c>
      <c r="C924" t="s">
        <v>5</v>
      </c>
      <c r="D924">
        <v>0.60899999999999999</v>
      </c>
    </row>
    <row r="925" spans="1:4" x14ac:dyDescent="0.3">
      <c r="A925">
        <v>6</v>
      </c>
      <c r="B925">
        <f>COUNTIFS($A$2:A925,A925,$C$2:C925,"conf_1")</f>
        <v>4</v>
      </c>
      <c r="C925" t="s">
        <v>6</v>
      </c>
      <c r="D925">
        <v>0.6</v>
      </c>
    </row>
    <row r="926" spans="1:4" x14ac:dyDescent="0.3">
      <c r="A926">
        <v>6</v>
      </c>
      <c r="B926">
        <f>COUNTIFS($A$2:A926,A926,$C$2:C926,"conf_1")</f>
        <v>4</v>
      </c>
      <c r="C926" t="s">
        <v>7</v>
      </c>
      <c r="D926">
        <v>0.61899999999999999</v>
      </c>
    </row>
    <row r="927" spans="1:4" x14ac:dyDescent="0.3">
      <c r="A927">
        <v>6</v>
      </c>
      <c r="B927">
        <f>COUNTIFS($A$2:A927,A927,$C$2:C927,"conf_1")</f>
        <v>4</v>
      </c>
      <c r="C927" t="s">
        <v>8</v>
      </c>
      <c r="D927">
        <v>0.60299999999999998</v>
      </c>
    </row>
    <row r="928" spans="1:4" x14ac:dyDescent="0.3">
      <c r="A928">
        <v>6</v>
      </c>
      <c r="B928">
        <f>COUNTIFS($A$2:A928,A928,$C$2:C928,"conf_1")</f>
        <v>4</v>
      </c>
      <c r="C928" t="s">
        <v>9</v>
      </c>
      <c r="D928">
        <v>0.13</v>
      </c>
    </row>
    <row r="929" spans="1:4" x14ac:dyDescent="0.3">
      <c r="A929">
        <v>6</v>
      </c>
      <c r="B929">
        <f>COUNTIFS($A$2:A929,A929,$C$2:C929,"conf_1")</f>
        <v>4</v>
      </c>
      <c r="C929" t="s">
        <v>10</v>
      </c>
      <c r="D929">
        <v>0.433</v>
      </c>
    </row>
    <row r="930" spans="1:4" x14ac:dyDescent="0.3">
      <c r="A930">
        <v>6</v>
      </c>
      <c r="B930">
        <f>COUNTIFS($A$2:A930,A930,$C$2:C930,"conf_1")</f>
        <v>4</v>
      </c>
      <c r="C930" t="s">
        <v>11</v>
      </c>
      <c r="D930">
        <v>0.60599999999999998</v>
      </c>
    </row>
    <row r="931" spans="1:4" x14ac:dyDescent="0.3">
      <c r="A931">
        <v>6</v>
      </c>
      <c r="B931">
        <f>COUNTIFS($A$2:A931,A931,$C$2:C931,"conf_1")</f>
        <v>4</v>
      </c>
      <c r="C931" t="s">
        <v>12</v>
      </c>
      <c r="D931">
        <v>0.65200000000000002</v>
      </c>
    </row>
    <row r="932" spans="1:4" x14ac:dyDescent="0.3">
      <c r="A932">
        <v>6</v>
      </c>
      <c r="B932">
        <f>COUNTIFS($A$2:A932,A932,$C$2:C932,"conf_1")</f>
        <v>4</v>
      </c>
      <c r="C932" t="s">
        <v>13</v>
      </c>
      <c r="D932">
        <v>0.63800000000000001</v>
      </c>
    </row>
    <row r="933" spans="1:4" x14ac:dyDescent="0.3">
      <c r="A933">
        <v>6</v>
      </c>
      <c r="B933">
        <f>COUNTIFS($A$2:A933,A933,$C$2:C933,"conf_1")</f>
        <v>4</v>
      </c>
      <c r="C933" t="s">
        <v>14</v>
      </c>
      <c r="D933">
        <v>0.11899999999999999</v>
      </c>
    </row>
    <row r="934" spans="1:4" x14ac:dyDescent="0.3">
      <c r="A934">
        <v>6</v>
      </c>
      <c r="B934">
        <f>COUNTIFS($A$2:A934,A934,$C$2:C934,"conf_1")</f>
        <v>4</v>
      </c>
      <c r="C934" t="s">
        <v>15</v>
      </c>
      <c r="D934">
        <v>0.66900000000000004</v>
      </c>
    </row>
    <row r="935" spans="1:4" x14ac:dyDescent="0.3">
      <c r="A935">
        <v>6</v>
      </c>
      <c r="B935">
        <f>COUNTIFS($A$2:A935,A935,$C$2:C935,"conf_1")</f>
        <v>4</v>
      </c>
      <c r="C935" t="s">
        <v>16</v>
      </c>
      <c r="D935">
        <v>5.5E-2</v>
      </c>
    </row>
    <row r="936" spans="1:4" x14ac:dyDescent="0.3">
      <c r="A936">
        <v>6</v>
      </c>
      <c r="B936">
        <f>COUNTIFS($A$2:A936,A936,$C$2:C936,"conf_1")</f>
        <v>4</v>
      </c>
      <c r="C936" t="s">
        <v>17</v>
      </c>
      <c r="D936">
        <v>0.16</v>
      </c>
    </row>
    <row r="937" spans="1:4" x14ac:dyDescent="0.3">
      <c r="A937">
        <v>6</v>
      </c>
      <c r="B937">
        <f>COUNTIFS($A$2:A937,A937,$C$2:C937,"conf_1")</f>
        <v>4</v>
      </c>
      <c r="C937" t="s">
        <v>18</v>
      </c>
      <c r="D937">
        <v>0.2</v>
      </c>
    </row>
    <row r="938" spans="1:4" x14ac:dyDescent="0.3">
      <c r="A938">
        <v>6</v>
      </c>
      <c r="B938">
        <f>COUNTIFS($A$2:A938,A938,$C$2:C938,"conf_1")</f>
        <v>4</v>
      </c>
      <c r="C938" t="s">
        <v>19</v>
      </c>
      <c r="D938">
        <v>0.624</v>
      </c>
    </row>
    <row r="939" spans="1:4" x14ac:dyDescent="0.3">
      <c r="A939">
        <v>6</v>
      </c>
      <c r="B939">
        <f>COUNTIFS($A$2:A939,A939,$C$2:C939,"conf_1")</f>
        <v>4</v>
      </c>
      <c r="C939" t="s">
        <v>20</v>
      </c>
      <c r="D939">
        <v>0.64400000000000002</v>
      </c>
    </row>
    <row r="940" spans="1:4" x14ac:dyDescent="0.3">
      <c r="A940">
        <v>6</v>
      </c>
      <c r="B940">
        <f>COUNTIFS($A$2:A940,A940,$C$2:C940,"conf_1")</f>
        <v>4</v>
      </c>
      <c r="C940" t="s">
        <v>21</v>
      </c>
      <c r="D940">
        <v>0.21299999999999999</v>
      </c>
    </row>
    <row r="941" spans="1:4" x14ac:dyDescent="0.3">
      <c r="A941">
        <v>6</v>
      </c>
      <c r="B941">
        <f>COUNTIFS($A$2:A941,A941,$C$2:C941,"conf_1")</f>
        <v>4</v>
      </c>
      <c r="C941" t="s">
        <v>22</v>
      </c>
      <c r="D941">
        <v>0.152</v>
      </c>
    </row>
    <row r="942" spans="1:4" x14ac:dyDescent="0.3">
      <c r="A942">
        <v>6</v>
      </c>
      <c r="B942">
        <f>COUNTIFS($A$2:A942,A942,$C$2:C942,"conf_1")</f>
        <v>5</v>
      </c>
      <c r="C942" t="s">
        <v>3</v>
      </c>
      <c r="D942">
        <v>0.65100000000000002</v>
      </c>
    </row>
    <row r="943" spans="1:4" x14ac:dyDescent="0.3">
      <c r="A943">
        <v>6</v>
      </c>
      <c r="B943">
        <f>COUNTIFS($A$2:A943,A943,$C$2:C943,"conf_1")</f>
        <v>5</v>
      </c>
      <c r="C943" t="s">
        <v>4</v>
      </c>
      <c r="D943">
        <v>0.60399999999999998</v>
      </c>
    </row>
    <row r="944" spans="1:4" x14ac:dyDescent="0.3">
      <c r="A944">
        <v>6</v>
      </c>
      <c r="B944">
        <f>COUNTIFS($A$2:A944,A944,$C$2:C944,"conf_1")</f>
        <v>5</v>
      </c>
      <c r="C944" t="s">
        <v>5</v>
      </c>
      <c r="D944">
        <v>0.60799999999999998</v>
      </c>
    </row>
    <row r="945" spans="1:4" x14ac:dyDescent="0.3">
      <c r="A945">
        <v>6</v>
      </c>
      <c r="B945">
        <f>COUNTIFS($A$2:A945,A945,$C$2:C945,"conf_1")</f>
        <v>5</v>
      </c>
      <c r="C945" t="s">
        <v>6</v>
      </c>
      <c r="D945">
        <v>0.6</v>
      </c>
    </row>
    <row r="946" spans="1:4" x14ac:dyDescent="0.3">
      <c r="A946">
        <v>6</v>
      </c>
      <c r="B946">
        <f>COUNTIFS($A$2:A946,A946,$C$2:C946,"conf_1")</f>
        <v>5</v>
      </c>
      <c r="C946" t="s">
        <v>7</v>
      </c>
      <c r="D946">
        <v>0.61699999999999999</v>
      </c>
    </row>
    <row r="947" spans="1:4" x14ac:dyDescent="0.3">
      <c r="A947">
        <v>6</v>
      </c>
      <c r="B947">
        <f>COUNTIFS($A$2:A947,A947,$C$2:C947,"conf_1")</f>
        <v>5</v>
      </c>
      <c r="C947" t="s">
        <v>8</v>
      </c>
      <c r="D947">
        <v>0.60299999999999998</v>
      </c>
    </row>
    <row r="948" spans="1:4" x14ac:dyDescent="0.3">
      <c r="A948">
        <v>6</v>
      </c>
      <c r="B948">
        <f>COUNTIFS($A$2:A948,A948,$C$2:C948,"conf_1")</f>
        <v>5</v>
      </c>
      <c r="C948" t="s">
        <v>9</v>
      </c>
      <c r="D948">
        <v>0.125</v>
      </c>
    </row>
    <row r="949" spans="1:4" x14ac:dyDescent="0.3">
      <c r="A949">
        <v>6</v>
      </c>
      <c r="B949">
        <f>COUNTIFS($A$2:A949,A949,$C$2:C949,"conf_1")</f>
        <v>5</v>
      </c>
      <c r="C949" t="s">
        <v>10</v>
      </c>
      <c r="D949">
        <v>0.42699999999999999</v>
      </c>
    </row>
    <row r="950" spans="1:4" x14ac:dyDescent="0.3">
      <c r="A950">
        <v>6</v>
      </c>
      <c r="B950">
        <f>COUNTIFS($A$2:A950,A950,$C$2:C950,"conf_1")</f>
        <v>5</v>
      </c>
      <c r="C950" t="s">
        <v>11</v>
      </c>
      <c r="D950">
        <v>0.60399999999999998</v>
      </c>
    </row>
    <row r="951" spans="1:4" x14ac:dyDescent="0.3">
      <c r="A951">
        <v>6</v>
      </c>
      <c r="B951">
        <f>COUNTIFS($A$2:A951,A951,$C$2:C951,"conf_1")</f>
        <v>5</v>
      </c>
      <c r="C951" t="s">
        <v>12</v>
      </c>
      <c r="D951">
        <v>0.436</v>
      </c>
    </row>
    <row r="952" spans="1:4" x14ac:dyDescent="0.3">
      <c r="A952">
        <v>6</v>
      </c>
      <c r="B952">
        <f>COUNTIFS($A$2:A952,A952,$C$2:C952,"conf_1")</f>
        <v>5</v>
      </c>
      <c r="C952" t="s">
        <v>13</v>
      </c>
      <c r="D952">
        <v>0.63500000000000001</v>
      </c>
    </row>
    <row r="953" spans="1:4" x14ac:dyDescent="0.3">
      <c r="A953">
        <v>6</v>
      </c>
      <c r="B953">
        <f>COUNTIFS($A$2:A953,A953,$C$2:C953,"conf_1")</f>
        <v>5</v>
      </c>
      <c r="C953" t="s">
        <v>14</v>
      </c>
      <c r="D953">
        <v>0.128</v>
      </c>
    </row>
    <row r="954" spans="1:4" x14ac:dyDescent="0.3">
      <c r="A954">
        <v>6</v>
      </c>
      <c r="B954">
        <f>COUNTIFS($A$2:A954,A954,$C$2:C954,"conf_1")</f>
        <v>5</v>
      </c>
      <c r="C954" t="s">
        <v>15</v>
      </c>
      <c r="D954">
        <v>0.45200000000000001</v>
      </c>
    </row>
    <row r="955" spans="1:4" x14ac:dyDescent="0.3">
      <c r="A955">
        <v>6</v>
      </c>
      <c r="B955">
        <f>COUNTIFS($A$2:A955,A955,$C$2:C955,"conf_1")</f>
        <v>5</v>
      </c>
      <c r="C955" t="s">
        <v>16</v>
      </c>
      <c r="D955">
        <v>5.6000000000000001E-2</v>
      </c>
    </row>
    <row r="956" spans="1:4" x14ac:dyDescent="0.3">
      <c r="A956">
        <v>6</v>
      </c>
      <c r="B956">
        <f>COUNTIFS($A$2:A956,A956,$C$2:C956,"conf_1")</f>
        <v>5</v>
      </c>
      <c r="C956" t="s">
        <v>17</v>
      </c>
      <c r="D956">
        <v>0.154</v>
      </c>
    </row>
    <row r="957" spans="1:4" x14ac:dyDescent="0.3">
      <c r="A957">
        <v>6</v>
      </c>
      <c r="B957">
        <f>COUNTIFS($A$2:A957,A957,$C$2:C957,"conf_1")</f>
        <v>5</v>
      </c>
      <c r="C957" t="s">
        <v>18</v>
      </c>
      <c r="D957">
        <v>0.20899999999999999</v>
      </c>
    </row>
    <row r="958" spans="1:4" x14ac:dyDescent="0.3">
      <c r="A958">
        <v>6</v>
      </c>
      <c r="B958">
        <f>COUNTIFS($A$2:A958,A958,$C$2:C958,"conf_1")</f>
        <v>5</v>
      </c>
      <c r="C958" t="s">
        <v>19</v>
      </c>
      <c r="D958">
        <v>0.41099999999999998</v>
      </c>
    </row>
    <row r="959" spans="1:4" x14ac:dyDescent="0.3">
      <c r="A959">
        <v>6</v>
      </c>
      <c r="B959">
        <f>COUNTIFS($A$2:A959,A959,$C$2:C959,"conf_1")</f>
        <v>5</v>
      </c>
      <c r="C959" t="s">
        <v>20</v>
      </c>
      <c r="D959">
        <v>0.42699999999999999</v>
      </c>
    </row>
    <row r="960" spans="1:4" x14ac:dyDescent="0.3">
      <c r="A960">
        <v>6</v>
      </c>
      <c r="B960">
        <f>COUNTIFS($A$2:A960,A960,$C$2:C960,"conf_1")</f>
        <v>5</v>
      </c>
      <c r="C960" t="s">
        <v>21</v>
      </c>
      <c r="D960">
        <v>0.222</v>
      </c>
    </row>
    <row r="961" spans="1:4" x14ac:dyDescent="0.3">
      <c r="A961">
        <v>6</v>
      </c>
      <c r="B961">
        <f>COUNTIFS($A$2:A961,A961,$C$2:C961,"conf_1")</f>
        <v>5</v>
      </c>
      <c r="C961" t="s">
        <v>22</v>
      </c>
      <c r="D961">
        <v>0.157</v>
      </c>
    </row>
    <row r="962" spans="1:4" x14ac:dyDescent="0.3">
      <c r="A962">
        <v>6</v>
      </c>
      <c r="B962">
        <f>COUNTIFS($A$2:A962,A962,$C$2:C962,"conf_1")</f>
        <v>6</v>
      </c>
      <c r="C962" t="s">
        <v>3</v>
      </c>
      <c r="D962">
        <v>0.65300000000000002</v>
      </c>
    </row>
    <row r="963" spans="1:4" x14ac:dyDescent="0.3">
      <c r="A963">
        <v>6</v>
      </c>
      <c r="B963">
        <f>COUNTIFS($A$2:A963,A963,$C$2:C963,"conf_1")</f>
        <v>6</v>
      </c>
      <c r="C963" t="s">
        <v>4</v>
      </c>
      <c r="D963">
        <v>0.60499999999999998</v>
      </c>
    </row>
    <row r="964" spans="1:4" x14ac:dyDescent="0.3">
      <c r="A964">
        <v>6</v>
      </c>
      <c r="B964">
        <f>COUNTIFS($A$2:A964,A964,$C$2:C964,"conf_1")</f>
        <v>6</v>
      </c>
      <c r="C964" t="s">
        <v>5</v>
      </c>
      <c r="D964">
        <v>0.60899999999999999</v>
      </c>
    </row>
    <row r="965" spans="1:4" x14ac:dyDescent="0.3">
      <c r="A965">
        <v>6</v>
      </c>
      <c r="B965">
        <f>COUNTIFS($A$2:A965,A965,$C$2:C965,"conf_1")</f>
        <v>6</v>
      </c>
      <c r="C965" t="s">
        <v>6</v>
      </c>
      <c r="D965">
        <v>0.6</v>
      </c>
    </row>
    <row r="966" spans="1:4" x14ac:dyDescent="0.3">
      <c r="A966">
        <v>6</v>
      </c>
      <c r="B966">
        <f>COUNTIFS($A$2:A966,A966,$C$2:C966,"conf_1")</f>
        <v>6</v>
      </c>
      <c r="C966" t="s">
        <v>7</v>
      </c>
      <c r="D966">
        <v>0.61799999999999999</v>
      </c>
    </row>
    <row r="967" spans="1:4" x14ac:dyDescent="0.3">
      <c r="A967">
        <v>6</v>
      </c>
      <c r="B967">
        <f>COUNTIFS($A$2:A967,A967,$C$2:C967,"conf_1")</f>
        <v>6</v>
      </c>
      <c r="C967" t="s">
        <v>8</v>
      </c>
      <c r="D967">
        <v>0.60299999999999998</v>
      </c>
    </row>
    <row r="968" spans="1:4" x14ac:dyDescent="0.3">
      <c r="A968">
        <v>6</v>
      </c>
      <c r="B968">
        <f>COUNTIFS($A$2:A968,A968,$C$2:C968,"conf_1")</f>
        <v>6</v>
      </c>
      <c r="C968" t="s">
        <v>9</v>
      </c>
      <c r="D968">
        <v>0.128</v>
      </c>
    </row>
    <row r="969" spans="1:4" x14ac:dyDescent="0.3">
      <c r="A969">
        <v>6</v>
      </c>
      <c r="B969">
        <f>COUNTIFS($A$2:A969,A969,$C$2:C969,"conf_1")</f>
        <v>6</v>
      </c>
      <c r="C969" t="s">
        <v>10</v>
      </c>
      <c r="D969">
        <v>0.43099999999999999</v>
      </c>
    </row>
    <row r="970" spans="1:4" x14ac:dyDescent="0.3">
      <c r="A970">
        <v>6</v>
      </c>
      <c r="B970">
        <f>COUNTIFS($A$2:A970,A970,$C$2:C970,"conf_1")</f>
        <v>6</v>
      </c>
      <c r="C970" t="s">
        <v>11</v>
      </c>
      <c r="D970">
        <v>0.60499999999999998</v>
      </c>
    </row>
    <row r="971" spans="1:4" x14ac:dyDescent="0.3">
      <c r="A971">
        <v>6</v>
      </c>
      <c r="B971">
        <f>COUNTIFS($A$2:A971,A971,$C$2:C971,"conf_1")</f>
        <v>6</v>
      </c>
      <c r="C971" t="s">
        <v>12</v>
      </c>
      <c r="D971">
        <v>0.65100000000000002</v>
      </c>
    </row>
    <row r="972" spans="1:4" x14ac:dyDescent="0.3">
      <c r="A972">
        <v>6</v>
      </c>
      <c r="B972">
        <f>COUNTIFS($A$2:A972,A972,$C$2:C972,"conf_1")</f>
        <v>6</v>
      </c>
      <c r="C972" t="s">
        <v>13</v>
      </c>
      <c r="D972">
        <v>0.63600000000000001</v>
      </c>
    </row>
    <row r="973" spans="1:4" x14ac:dyDescent="0.3">
      <c r="A973">
        <v>6</v>
      </c>
      <c r="B973">
        <f>COUNTIFS($A$2:A973,A973,$C$2:C973,"conf_1")</f>
        <v>6</v>
      </c>
      <c r="C973" t="s">
        <v>14</v>
      </c>
      <c r="D973">
        <v>0.126</v>
      </c>
    </row>
    <row r="974" spans="1:4" x14ac:dyDescent="0.3">
      <c r="A974">
        <v>6</v>
      </c>
      <c r="B974">
        <f>COUNTIFS($A$2:A974,A974,$C$2:C974,"conf_1")</f>
        <v>6</v>
      </c>
      <c r="C974" t="s">
        <v>15</v>
      </c>
      <c r="D974">
        <v>0.66800000000000004</v>
      </c>
    </row>
    <row r="975" spans="1:4" x14ac:dyDescent="0.3">
      <c r="A975">
        <v>6</v>
      </c>
      <c r="B975">
        <f>COUNTIFS($A$2:A975,A975,$C$2:C975,"conf_1")</f>
        <v>6</v>
      </c>
      <c r="C975" t="s">
        <v>16</v>
      </c>
      <c r="D975">
        <v>8.5999999999999993E-2</v>
      </c>
    </row>
    <row r="976" spans="1:4" x14ac:dyDescent="0.3">
      <c r="A976">
        <v>6</v>
      </c>
      <c r="B976">
        <f>COUNTIFS($A$2:A976,A976,$C$2:C976,"conf_1")</f>
        <v>6</v>
      </c>
      <c r="C976" t="s">
        <v>17</v>
      </c>
      <c r="D976">
        <v>0.159</v>
      </c>
    </row>
    <row r="977" spans="1:4" x14ac:dyDescent="0.3">
      <c r="A977">
        <v>6</v>
      </c>
      <c r="B977">
        <f>COUNTIFS($A$2:A977,A977,$C$2:C977,"conf_1")</f>
        <v>6</v>
      </c>
      <c r="C977" t="s">
        <v>18</v>
      </c>
      <c r="D977">
        <v>0.20599999999999999</v>
      </c>
    </row>
    <row r="978" spans="1:4" x14ac:dyDescent="0.3">
      <c r="A978">
        <v>6</v>
      </c>
      <c r="B978">
        <f>COUNTIFS($A$2:A978,A978,$C$2:C978,"conf_1")</f>
        <v>6</v>
      </c>
      <c r="C978" t="s">
        <v>19</v>
      </c>
      <c r="D978">
        <v>0.41399999999999998</v>
      </c>
    </row>
    <row r="979" spans="1:4" x14ac:dyDescent="0.3">
      <c r="A979">
        <v>6</v>
      </c>
      <c r="B979">
        <f>COUNTIFS($A$2:A979,A979,$C$2:C979,"conf_1")</f>
        <v>6</v>
      </c>
      <c r="C979" t="s">
        <v>20</v>
      </c>
      <c r="D979">
        <v>0.43</v>
      </c>
    </row>
    <row r="980" spans="1:4" x14ac:dyDescent="0.3">
      <c r="A980">
        <v>6</v>
      </c>
      <c r="B980">
        <f>COUNTIFS($A$2:A980,A980,$C$2:C980,"conf_1")</f>
        <v>6</v>
      </c>
      <c r="C980" t="s">
        <v>21</v>
      </c>
      <c r="D980">
        <v>0.22</v>
      </c>
    </row>
    <row r="981" spans="1:4" x14ac:dyDescent="0.3">
      <c r="A981">
        <v>6</v>
      </c>
      <c r="B981">
        <f>COUNTIFS($A$2:A981,A981,$C$2:C981,"conf_1")</f>
        <v>6</v>
      </c>
      <c r="C981" t="s">
        <v>22</v>
      </c>
      <c r="D981">
        <v>0.157</v>
      </c>
    </row>
    <row r="982" spans="1:4" x14ac:dyDescent="0.3">
      <c r="A982">
        <v>6</v>
      </c>
      <c r="B982">
        <f>COUNTIFS($A$2:A982,A982,$C$2:C982,"conf_1")</f>
        <v>7</v>
      </c>
      <c r="C982" t="s">
        <v>3</v>
      </c>
      <c r="D982">
        <v>0.65300000000000002</v>
      </c>
    </row>
    <row r="983" spans="1:4" x14ac:dyDescent="0.3">
      <c r="A983">
        <v>6</v>
      </c>
      <c r="B983">
        <f>COUNTIFS($A$2:A983,A983,$C$2:C983,"conf_1")</f>
        <v>7</v>
      </c>
      <c r="C983" t="s">
        <v>4</v>
      </c>
      <c r="D983">
        <v>0.60499999999999998</v>
      </c>
    </row>
    <row r="984" spans="1:4" x14ac:dyDescent="0.3">
      <c r="A984">
        <v>6</v>
      </c>
      <c r="B984">
        <f>COUNTIFS($A$2:A984,A984,$C$2:C984,"conf_1")</f>
        <v>7</v>
      </c>
      <c r="C984" t="s">
        <v>5</v>
      </c>
      <c r="D984">
        <v>0.60899999999999999</v>
      </c>
    </row>
    <row r="985" spans="1:4" x14ac:dyDescent="0.3">
      <c r="A985">
        <v>6</v>
      </c>
      <c r="B985">
        <f>COUNTIFS($A$2:A985,A985,$C$2:C985,"conf_1")</f>
        <v>7</v>
      </c>
      <c r="C985" t="s">
        <v>6</v>
      </c>
      <c r="D985">
        <v>0.6</v>
      </c>
    </row>
    <row r="986" spans="1:4" x14ac:dyDescent="0.3">
      <c r="A986">
        <v>6</v>
      </c>
      <c r="B986">
        <f>COUNTIFS($A$2:A986,A986,$C$2:C986,"conf_1")</f>
        <v>7</v>
      </c>
      <c r="C986" t="s">
        <v>7</v>
      </c>
      <c r="D986">
        <v>0.61799999999999999</v>
      </c>
    </row>
    <row r="987" spans="1:4" x14ac:dyDescent="0.3">
      <c r="A987">
        <v>6</v>
      </c>
      <c r="B987">
        <f>COUNTIFS($A$2:A987,A987,$C$2:C987,"conf_1")</f>
        <v>7</v>
      </c>
      <c r="C987" t="s">
        <v>8</v>
      </c>
      <c r="D987">
        <v>0.60299999999999998</v>
      </c>
    </row>
    <row r="988" spans="1:4" x14ac:dyDescent="0.3">
      <c r="A988">
        <v>6</v>
      </c>
      <c r="B988">
        <f>COUNTIFS($A$2:A988,A988,$C$2:C988,"conf_1")</f>
        <v>7</v>
      </c>
      <c r="C988" t="s">
        <v>9</v>
      </c>
      <c r="D988">
        <v>0.128</v>
      </c>
    </row>
    <row r="989" spans="1:4" x14ac:dyDescent="0.3">
      <c r="A989">
        <v>6</v>
      </c>
      <c r="B989">
        <f>COUNTIFS($A$2:A989,A989,$C$2:C989,"conf_1")</f>
        <v>7</v>
      </c>
      <c r="C989" t="s">
        <v>10</v>
      </c>
      <c r="D989">
        <v>0.43</v>
      </c>
    </row>
    <row r="990" spans="1:4" x14ac:dyDescent="0.3">
      <c r="A990">
        <v>6</v>
      </c>
      <c r="B990">
        <f>COUNTIFS($A$2:A990,A990,$C$2:C990,"conf_1")</f>
        <v>7</v>
      </c>
      <c r="C990" t="s">
        <v>11</v>
      </c>
      <c r="D990">
        <v>0.60499999999999998</v>
      </c>
    </row>
    <row r="991" spans="1:4" x14ac:dyDescent="0.3">
      <c r="A991">
        <v>6</v>
      </c>
      <c r="B991">
        <f>COUNTIFS($A$2:A991,A991,$C$2:C991,"conf_1")</f>
        <v>7</v>
      </c>
      <c r="C991" t="s">
        <v>12</v>
      </c>
      <c r="D991">
        <v>0.65100000000000002</v>
      </c>
    </row>
    <row r="992" spans="1:4" x14ac:dyDescent="0.3">
      <c r="A992">
        <v>6</v>
      </c>
      <c r="B992">
        <f>COUNTIFS($A$2:A992,A992,$C$2:C992,"conf_1")</f>
        <v>7</v>
      </c>
      <c r="C992" t="s">
        <v>13</v>
      </c>
      <c r="D992">
        <v>0.63700000000000001</v>
      </c>
    </row>
    <row r="993" spans="1:4" x14ac:dyDescent="0.3">
      <c r="A993">
        <v>6</v>
      </c>
      <c r="B993">
        <f>COUNTIFS($A$2:A993,A993,$C$2:C993,"conf_1")</f>
        <v>7</v>
      </c>
      <c r="C993" t="s">
        <v>14</v>
      </c>
      <c r="D993">
        <v>0.123</v>
      </c>
    </row>
    <row r="994" spans="1:4" x14ac:dyDescent="0.3">
      <c r="A994">
        <v>6</v>
      </c>
      <c r="B994">
        <f>COUNTIFS($A$2:A994,A994,$C$2:C994,"conf_1")</f>
        <v>7</v>
      </c>
      <c r="C994" t="s">
        <v>15</v>
      </c>
      <c r="D994">
        <v>0.66800000000000004</v>
      </c>
    </row>
    <row r="995" spans="1:4" x14ac:dyDescent="0.3">
      <c r="A995">
        <v>6</v>
      </c>
      <c r="B995">
        <f>COUNTIFS($A$2:A995,A995,$C$2:C995,"conf_1")</f>
        <v>7</v>
      </c>
      <c r="C995" t="s">
        <v>16</v>
      </c>
      <c r="D995">
        <v>8.3000000000000004E-2</v>
      </c>
    </row>
    <row r="996" spans="1:4" x14ac:dyDescent="0.3">
      <c r="A996">
        <v>6</v>
      </c>
      <c r="B996">
        <f>COUNTIFS($A$2:A996,A996,$C$2:C996,"conf_1")</f>
        <v>7</v>
      </c>
      <c r="C996" t="s">
        <v>17</v>
      </c>
      <c r="D996">
        <v>0.157</v>
      </c>
    </row>
    <row r="997" spans="1:4" x14ac:dyDescent="0.3">
      <c r="A997">
        <v>6</v>
      </c>
      <c r="B997">
        <f>COUNTIFS($A$2:A997,A997,$C$2:C997,"conf_1")</f>
        <v>7</v>
      </c>
      <c r="C997" t="s">
        <v>18</v>
      </c>
      <c r="D997">
        <v>0.20399999999999999</v>
      </c>
    </row>
    <row r="998" spans="1:4" x14ac:dyDescent="0.3">
      <c r="A998">
        <v>6</v>
      </c>
      <c r="B998">
        <f>COUNTIFS($A$2:A998,A998,$C$2:C998,"conf_1")</f>
        <v>7</v>
      </c>
      <c r="C998" t="s">
        <v>19</v>
      </c>
      <c r="D998">
        <v>0.41399999999999998</v>
      </c>
    </row>
    <row r="999" spans="1:4" x14ac:dyDescent="0.3">
      <c r="A999">
        <v>6</v>
      </c>
      <c r="B999">
        <f>COUNTIFS($A$2:A999,A999,$C$2:C999,"conf_1")</f>
        <v>7</v>
      </c>
      <c r="C999" t="s">
        <v>20</v>
      </c>
      <c r="D999">
        <v>0.43</v>
      </c>
    </row>
    <row r="1000" spans="1:4" x14ac:dyDescent="0.3">
      <c r="A1000">
        <v>6</v>
      </c>
      <c r="B1000">
        <f>COUNTIFS($A$2:A1000,A1000,$C$2:C1000,"conf_1")</f>
        <v>7</v>
      </c>
      <c r="C1000" t="s">
        <v>21</v>
      </c>
      <c r="D1000">
        <v>0.218</v>
      </c>
    </row>
    <row r="1001" spans="1:4" x14ac:dyDescent="0.3">
      <c r="A1001">
        <v>6</v>
      </c>
      <c r="B1001">
        <f>COUNTIFS($A$2:A1001,A1001,$C$2:C1001,"conf_1")</f>
        <v>7</v>
      </c>
      <c r="C1001" t="s">
        <v>22</v>
      </c>
      <c r="D1001">
        <v>0.154</v>
      </c>
    </row>
    <row r="1002" spans="1:4" x14ac:dyDescent="0.3">
      <c r="A1002">
        <v>6</v>
      </c>
      <c r="B1002">
        <f>COUNTIFS($A$2:A1002,A1002,$C$2:C1002,"conf_1")</f>
        <v>8</v>
      </c>
      <c r="C1002" t="s">
        <v>3</v>
      </c>
      <c r="D1002">
        <v>0.64900000000000002</v>
      </c>
    </row>
    <row r="1003" spans="1:4" x14ac:dyDescent="0.3">
      <c r="A1003">
        <v>6</v>
      </c>
      <c r="B1003">
        <f>COUNTIFS($A$2:A1003,A1003,$C$2:C1003,"conf_1")</f>
        <v>8</v>
      </c>
      <c r="C1003" t="s">
        <v>4</v>
      </c>
      <c r="D1003">
        <v>0.60599999999999998</v>
      </c>
    </row>
    <row r="1004" spans="1:4" x14ac:dyDescent="0.3">
      <c r="A1004">
        <v>6</v>
      </c>
      <c r="B1004">
        <f>COUNTIFS($A$2:A1004,A1004,$C$2:C1004,"conf_1")</f>
        <v>8</v>
      </c>
      <c r="C1004" t="s">
        <v>5</v>
      </c>
      <c r="D1004">
        <v>0.60799999999999998</v>
      </c>
    </row>
    <row r="1005" spans="1:4" x14ac:dyDescent="0.3">
      <c r="A1005">
        <v>6</v>
      </c>
      <c r="B1005">
        <f>COUNTIFS($A$2:A1005,A1005,$C$2:C1005,"conf_1")</f>
        <v>8</v>
      </c>
      <c r="C1005" t="s">
        <v>6</v>
      </c>
      <c r="D1005">
        <v>0.60199999999999998</v>
      </c>
    </row>
    <row r="1006" spans="1:4" x14ac:dyDescent="0.3">
      <c r="A1006">
        <v>6</v>
      </c>
      <c r="B1006">
        <f>COUNTIFS($A$2:A1006,A1006,$C$2:C1006,"conf_1")</f>
        <v>8</v>
      </c>
      <c r="C1006" t="s">
        <v>7</v>
      </c>
      <c r="D1006">
        <v>0.61699999999999999</v>
      </c>
    </row>
    <row r="1007" spans="1:4" x14ac:dyDescent="0.3">
      <c r="A1007">
        <v>6</v>
      </c>
      <c r="B1007">
        <f>COUNTIFS($A$2:A1007,A1007,$C$2:C1007,"conf_1")</f>
        <v>8</v>
      </c>
      <c r="C1007" t="s">
        <v>8</v>
      </c>
      <c r="D1007">
        <v>0.60499999999999998</v>
      </c>
    </row>
    <row r="1008" spans="1:4" x14ac:dyDescent="0.3">
      <c r="A1008">
        <v>6</v>
      </c>
      <c r="B1008">
        <f>COUNTIFS($A$2:A1008,A1008,$C$2:C1008,"conf_1")</f>
        <v>8</v>
      </c>
      <c r="C1008" t="s">
        <v>9</v>
      </c>
      <c r="D1008">
        <v>0.12</v>
      </c>
    </row>
    <row r="1009" spans="1:4" x14ac:dyDescent="0.3">
      <c r="A1009">
        <v>6</v>
      </c>
      <c r="B1009">
        <f>COUNTIFS($A$2:A1009,A1009,$C$2:C1009,"conf_1")</f>
        <v>8</v>
      </c>
      <c r="C1009" t="s">
        <v>10</v>
      </c>
      <c r="D1009">
        <v>0.42899999999999999</v>
      </c>
    </row>
    <row r="1010" spans="1:4" x14ac:dyDescent="0.3">
      <c r="A1010">
        <v>6</v>
      </c>
      <c r="B1010">
        <f>COUNTIFS($A$2:A1010,A1010,$C$2:C1010,"conf_1")</f>
        <v>8</v>
      </c>
      <c r="C1010" t="s">
        <v>11</v>
      </c>
      <c r="D1010">
        <v>0.60499999999999998</v>
      </c>
    </row>
    <row r="1011" spans="1:4" x14ac:dyDescent="0.3">
      <c r="A1011">
        <v>6</v>
      </c>
      <c r="B1011">
        <f>COUNTIFS($A$2:A1011,A1011,$C$2:C1011,"conf_1")</f>
        <v>8</v>
      </c>
      <c r="C1011" t="s">
        <v>12</v>
      </c>
      <c r="D1011">
        <v>0.64700000000000002</v>
      </c>
    </row>
    <row r="1012" spans="1:4" x14ac:dyDescent="0.3">
      <c r="A1012">
        <v>6</v>
      </c>
      <c r="B1012">
        <f>COUNTIFS($A$2:A1012,A1012,$C$2:C1012,"conf_1")</f>
        <v>8</v>
      </c>
      <c r="C1012" t="s">
        <v>13</v>
      </c>
      <c r="D1012">
        <v>0.63300000000000001</v>
      </c>
    </row>
    <row r="1013" spans="1:4" x14ac:dyDescent="0.3">
      <c r="A1013">
        <v>6</v>
      </c>
      <c r="B1013">
        <f>COUNTIFS($A$2:A1013,A1013,$C$2:C1013,"conf_1")</f>
        <v>8</v>
      </c>
      <c r="C1013" t="s">
        <v>14</v>
      </c>
      <c r="D1013">
        <v>0.13100000000000001</v>
      </c>
    </row>
    <row r="1014" spans="1:4" x14ac:dyDescent="0.3">
      <c r="A1014">
        <v>6</v>
      </c>
      <c r="B1014">
        <f>COUNTIFS($A$2:A1014,A1014,$C$2:C1014,"conf_1")</f>
        <v>8</v>
      </c>
      <c r="C1014" t="s">
        <v>15</v>
      </c>
      <c r="D1014">
        <v>0.66400000000000003</v>
      </c>
    </row>
    <row r="1015" spans="1:4" x14ac:dyDescent="0.3">
      <c r="A1015">
        <v>6</v>
      </c>
      <c r="B1015">
        <f>COUNTIFS($A$2:A1015,A1015,$C$2:C1015,"conf_1")</f>
        <v>8</v>
      </c>
      <c r="C1015" t="s">
        <v>16</v>
      </c>
      <c r="D1015">
        <v>5.6000000000000001E-2</v>
      </c>
    </row>
    <row r="1016" spans="1:4" x14ac:dyDescent="0.3">
      <c r="A1016">
        <v>6</v>
      </c>
      <c r="B1016">
        <f>COUNTIFS($A$2:A1016,A1016,$C$2:C1016,"conf_1")</f>
        <v>8</v>
      </c>
      <c r="C1016" t="s">
        <v>17</v>
      </c>
      <c r="D1016">
        <v>0.154</v>
      </c>
    </row>
    <row r="1017" spans="1:4" x14ac:dyDescent="0.3">
      <c r="A1017">
        <v>6</v>
      </c>
      <c r="B1017">
        <f>COUNTIFS($A$2:A1017,A1017,$C$2:C1017,"conf_1")</f>
        <v>8</v>
      </c>
      <c r="C1017" t="s">
        <v>18</v>
      </c>
      <c r="D1017">
        <v>0.214</v>
      </c>
    </row>
    <row r="1018" spans="1:4" x14ac:dyDescent="0.3">
      <c r="A1018">
        <v>6</v>
      </c>
      <c r="B1018">
        <f>COUNTIFS($A$2:A1018,A1018,$C$2:C1018,"conf_1")</f>
        <v>8</v>
      </c>
      <c r="C1018" t="s">
        <v>19</v>
      </c>
      <c r="D1018">
        <v>0.41399999999999998</v>
      </c>
    </row>
    <row r="1019" spans="1:4" x14ac:dyDescent="0.3">
      <c r="A1019">
        <v>6</v>
      </c>
      <c r="B1019">
        <f>COUNTIFS($A$2:A1019,A1019,$C$2:C1019,"conf_1")</f>
        <v>8</v>
      </c>
      <c r="C1019" t="s">
        <v>20</v>
      </c>
      <c r="D1019">
        <v>0.42899999999999999</v>
      </c>
    </row>
    <row r="1020" spans="1:4" x14ac:dyDescent="0.3">
      <c r="A1020">
        <v>6</v>
      </c>
      <c r="B1020">
        <f>COUNTIFS($A$2:A1020,A1020,$C$2:C1020,"conf_1")</f>
        <v>8</v>
      </c>
      <c r="C1020" t="s">
        <v>21</v>
      </c>
      <c r="D1020">
        <v>0.22700000000000001</v>
      </c>
    </row>
    <row r="1021" spans="1:4" x14ac:dyDescent="0.3">
      <c r="A1021">
        <v>6</v>
      </c>
      <c r="B1021">
        <f>COUNTIFS($A$2:A1021,A1021,$C$2:C1021,"conf_1")</f>
        <v>8</v>
      </c>
      <c r="C1021" t="s">
        <v>22</v>
      </c>
      <c r="D1021">
        <v>0.16200000000000001</v>
      </c>
    </row>
    <row r="1022" spans="1:4" x14ac:dyDescent="0.3">
      <c r="A1022">
        <v>6</v>
      </c>
      <c r="B1022">
        <f>COUNTIFS($A$2:A1022,A1022,$C$2:C1022,"conf_1")</f>
        <v>9</v>
      </c>
      <c r="C1022" t="s">
        <v>3</v>
      </c>
      <c r="D1022">
        <v>0.65200000000000002</v>
      </c>
    </row>
    <row r="1023" spans="1:4" x14ac:dyDescent="0.3">
      <c r="A1023">
        <v>6</v>
      </c>
      <c r="B1023">
        <f>COUNTIFS($A$2:A1023,A1023,$C$2:C1023,"conf_1")</f>
        <v>9</v>
      </c>
      <c r="C1023" t="s">
        <v>4</v>
      </c>
      <c r="D1023">
        <v>0.60499999999999998</v>
      </c>
    </row>
    <row r="1024" spans="1:4" x14ac:dyDescent="0.3">
      <c r="A1024">
        <v>6</v>
      </c>
      <c r="B1024">
        <f>COUNTIFS($A$2:A1024,A1024,$C$2:C1024,"conf_1")</f>
        <v>9</v>
      </c>
      <c r="C1024" t="s">
        <v>5</v>
      </c>
      <c r="D1024">
        <v>0.60799999999999998</v>
      </c>
    </row>
    <row r="1025" spans="1:4" x14ac:dyDescent="0.3">
      <c r="A1025">
        <v>6</v>
      </c>
      <c r="B1025">
        <f>COUNTIFS($A$2:A1025,A1025,$C$2:C1025,"conf_1")</f>
        <v>9</v>
      </c>
      <c r="C1025" t="s">
        <v>6</v>
      </c>
      <c r="D1025">
        <v>0.6</v>
      </c>
    </row>
    <row r="1026" spans="1:4" x14ac:dyDescent="0.3">
      <c r="A1026">
        <v>6</v>
      </c>
      <c r="B1026">
        <f>COUNTIFS($A$2:A1026,A1026,$C$2:C1026,"conf_1")</f>
        <v>9</v>
      </c>
      <c r="C1026" t="s">
        <v>7</v>
      </c>
      <c r="D1026">
        <v>0.61699999999999999</v>
      </c>
    </row>
    <row r="1027" spans="1:4" x14ac:dyDescent="0.3">
      <c r="A1027">
        <v>6</v>
      </c>
      <c r="B1027">
        <f>COUNTIFS($A$2:A1027,A1027,$C$2:C1027,"conf_1")</f>
        <v>9</v>
      </c>
      <c r="C1027" t="s">
        <v>8</v>
      </c>
      <c r="D1027">
        <v>0.60299999999999998</v>
      </c>
    </row>
    <row r="1028" spans="1:4" x14ac:dyDescent="0.3">
      <c r="A1028">
        <v>6</v>
      </c>
      <c r="B1028">
        <f>COUNTIFS($A$2:A1028,A1028,$C$2:C1028,"conf_1")</f>
        <v>9</v>
      </c>
      <c r="C1028" t="s">
        <v>9</v>
      </c>
      <c r="D1028">
        <v>0.125</v>
      </c>
    </row>
    <row r="1029" spans="1:4" x14ac:dyDescent="0.3">
      <c r="A1029">
        <v>6</v>
      </c>
      <c r="B1029">
        <f>COUNTIFS($A$2:A1029,A1029,$C$2:C1029,"conf_1")</f>
        <v>9</v>
      </c>
      <c r="C1029" t="s">
        <v>10</v>
      </c>
      <c r="D1029">
        <v>0.42899999999999999</v>
      </c>
    </row>
    <row r="1030" spans="1:4" x14ac:dyDescent="0.3">
      <c r="A1030">
        <v>6</v>
      </c>
      <c r="B1030">
        <f>COUNTIFS($A$2:A1030,A1030,$C$2:C1030,"conf_1")</f>
        <v>9</v>
      </c>
      <c r="C1030" t="s">
        <v>11</v>
      </c>
      <c r="D1030">
        <v>0.60499999999999998</v>
      </c>
    </row>
    <row r="1031" spans="1:4" x14ac:dyDescent="0.3">
      <c r="A1031">
        <v>6</v>
      </c>
      <c r="B1031">
        <f>COUNTIFS($A$2:A1031,A1031,$C$2:C1031,"conf_1")</f>
        <v>9</v>
      </c>
      <c r="C1031" t="s">
        <v>12</v>
      </c>
      <c r="D1031">
        <v>0.437</v>
      </c>
    </row>
    <row r="1032" spans="1:4" x14ac:dyDescent="0.3">
      <c r="A1032">
        <v>6</v>
      </c>
      <c r="B1032">
        <f>COUNTIFS($A$2:A1032,A1032,$C$2:C1032,"conf_1")</f>
        <v>9</v>
      </c>
      <c r="C1032" t="s">
        <v>13</v>
      </c>
      <c r="D1032">
        <v>0.63500000000000001</v>
      </c>
    </row>
    <row r="1033" spans="1:4" x14ac:dyDescent="0.3">
      <c r="A1033">
        <v>6</v>
      </c>
      <c r="B1033">
        <f>COUNTIFS($A$2:A1033,A1033,$C$2:C1033,"conf_1")</f>
        <v>9</v>
      </c>
      <c r="C1033" t="s">
        <v>14</v>
      </c>
      <c r="D1033">
        <v>0.127</v>
      </c>
    </row>
    <row r="1034" spans="1:4" x14ac:dyDescent="0.3">
      <c r="A1034">
        <v>6</v>
      </c>
      <c r="B1034">
        <f>COUNTIFS($A$2:A1034,A1034,$C$2:C1034,"conf_1")</f>
        <v>9</v>
      </c>
      <c r="C1034" t="s">
        <v>15</v>
      </c>
      <c r="D1034">
        <v>0.66700000000000004</v>
      </c>
    </row>
    <row r="1035" spans="1:4" x14ac:dyDescent="0.3">
      <c r="A1035">
        <v>6</v>
      </c>
      <c r="B1035">
        <f>COUNTIFS($A$2:A1035,A1035,$C$2:C1035,"conf_1")</f>
        <v>9</v>
      </c>
      <c r="C1035" t="s">
        <v>16</v>
      </c>
      <c r="D1035">
        <v>8.5000000000000006E-2</v>
      </c>
    </row>
    <row r="1036" spans="1:4" x14ac:dyDescent="0.3">
      <c r="A1036">
        <v>6</v>
      </c>
      <c r="B1036">
        <f>COUNTIFS($A$2:A1036,A1036,$C$2:C1036,"conf_1")</f>
        <v>9</v>
      </c>
      <c r="C1036" t="s">
        <v>17</v>
      </c>
      <c r="D1036">
        <v>0.156</v>
      </c>
    </row>
    <row r="1037" spans="1:4" x14ac:dyDescent="0.3">
      <c r="A1037">
        <v>6</v>
      </c>
      <c r="B1037">
        <f>COUNTIFS($A$2:A1037,A1037,$C$2:C1037,"conf_1")</f>
        <v>9</v>
      </c>
      <c r="C1037" t="s">
        <v>18</v>
      </c>
      <c r="D1037">
        <v>0.20899999999999999</v>
      </c>
    </row>
    <row r="1038" spans="1:4" x14ac:dyDescent="0.3">
      <c r="A1038">
        <v>6</v>
      </c>
      <c r="B1038">
        <f>COUNTIFS($A$2:A1038,A1038,$C$2:C1038,"conf_1")</f>
        <v>9</v>
      </c>
      <c r="C1038" t="s">
        <v>19</v>
      </c>
      <c r="D1038">
        <v>0.41299999999999998</v>
      </c>
    </row>
    <row r="1039" spans="1:4" x14ac:dyDescent="0.3">
      <c r="A1039">
        <v>6</v>
      </c>
      <c r="B1039">
        <f>COUNTIFS($A$2:A1039,A1039,$C$2:C1039,"conf_1")</f>
        <v>9</v>
      </c>
      <c r="C1039" t="s">
        <v>20</v>
      </c>
      <c r="D1039">
        <v>0.42799999999999999</v>
      </c>
    </row>
    <row r="1040" spans="1:4" x14ac:dyDescent="0.3">
      <c r="A1040">
        <v>6</v>
      </c>
      <c r="B1040">
        <f>COUNTIFS($A$2:A1040,A1040,$C$2:C1040,"conf_1")</f>
        <v>9</v>
      </c>
      <c r="C1040" t="s">
        <v>21</v>
      </c>
      <c r="D1040">
        <v>0.223</v>
      </c>
    </row>
    <row r="1041" spans="1:4" x14ac:dyDescent="0.3">
      <c r="A1041">
        <v>6</v>
      </c>
      <c r="B1041">
        <f>COUNTIFS($A$2:A1041,A1041,$C$2:C1041,"conf_1")</f>
        <v>9</v>
      </c>
      <c r="C1041" t="s">
        <v>22</v>
      </c>
      <c r="D1041">
        <v>0.159</v>
      </c>
    </row>
    <row r="1042" spans="1:4" x14ac:dyDescent="0.3">
      <c r="A1042">
        <v>6</v>
      </c>
      <c r="B1042">
        <f>COUNTIFS($A$2:A1042,A1042,$C$2:C1042,"conf_1")</f>
        <v>10</v>
      </c>
      <c r="C1042" t="s">
        <v>3</v>
      </c>
      <c r="D1042">
        <v>0.437</v>
      </c>
    </row>
    <row r="1043" spans="1:4" x14ac:dyDescent="0.3">
      <c r="A1043">
        <v>6</v>
      </c>
      <c r="B1043">
        <f>COUNTIFS($A$2:A1043,A1043,$C$2:C1043,"conf_1")</f>
        <v>10</v>
      </c>
      <c r="C1043" t="s">
        <v>4</v>
      </c>
      <c r="D1043">
        <v>0.60399999999999998</v>
      </c>
    </row>
    <row r="1044" spans="1:4" x14ac:dyDescent="0.3">
      <c r="A1044">
        <v>6</v>
      </c>
      <c r="B1044">
        <f>COUNTIFS($A$2:A1044,A1044,$C$2:C1044,"conf_1")</f>
        <v>10</v>
      </c>
      <c r="C1044" t="s">
        <v>5</v>
      </c>
      <c r="D1044">
        <v>0.60699999999999998</v>
      </c>
    </row>
    <row r="1045" spans="1:4" x14ac:dyDescent="0.3">
      <c r="A1045">
        <v>6</v>
      </c>
      <c r="B1045">
        <f>COUNTIFS($A$2:A1045,A1045,$C$2:C1045,"conf_1")</f>
        <v>10</v>
      </c>
      <c r="C1045" t="s">
        <v>6</v>
      </c>
      <c r="D1045">
        <v>0.6</v>
      </c>
    </row>
    <row r="1046" spans="1:4" x14ac:dyDescent="0.3">
      <c r="A1046">
        <v>6</v>
      </c>
      <c r="B1046">
        <f>COUNTIFS($A$2:A1046,A1046,$C$2:C1046,"conf_1")</f>
        <v>10</v>
      </c>
      <c r="C1046" t="s">
        <v>7</v>
      </c>
      <c r="D1046">
        <v>0.61699999999999999</v>
      </c>
    </row>
    <row r="1047" spans="1:4" x14ac:dyDescent="0.3">
      <c r="A1047">
        <v>6</v>
      </c>
      <c r="B1047">
        <f>COUNTIFS($A$2:A1047,A1047,$C$2:C1047,"conf_1")</f>
        <v>10</v>
      </c>
      <c r="C1047" t="s">
        <v>8</v>
      </c>
      <c r="D1047">
        <v>0.60199999999999998</v>
      </c>
    </row>
    <row r="1048" spans="1:4" x14ac:dyDescent="0.3">
      <c r="A1048">
        <v>6</v>
      </c>
      <c r="B1048">
        <f>COUNTIFS($A$2:A1048,A1048,$C$2:C1048,"conf_1")</f>
        <v>10</v>
      </c>
      <c r="C1048" t="s">
        <v>9</v>
      </c>
      <c r="D1048">
        <v>0.125</v>
      </c>
    </row>
    <row r="1049" spans="1:4" x14ac:dyDescent="0.3">
      <c r="A1049">
        <v>6</v>
      </c>
      <c r="B1049">
        <f>COUNTIFS($A$2:A1049,A1049,$C$2:C1049,"conf_1")</f>
        <v>10</v>
      </c>
      <c r="C1049" t="s">
        <v>10</v>
      </c>
      <c r="D1049">
        <v>0.42499999999999999</v>
      </c>
    </row>
    <row r="1050" spans="1:4" x14ac:dyDescent="0.3">
      <c r="A1050">
        <v>6</v>
      </c>
      <c r="B1050">
        <f>COUNTIFS($A$2:A1050,A1050,$C$2:C1050,"conf_1")</f>
        <v>10</v>
      </c>
      <c r="C1050" t="s">
        <v>11</v>
      </c>
      <c r="D1050">
        <v>0.60299999999999998</v>
      </c>
    </row>
    <row r="1051" spans="1:4" x14ac:dyDescent="0.3">
      <c r="A1051">
        <v>6</v>
      </c>
      <c r="B1051">
        <f>COUNTIFS($A$2:A1051,A1051,$C$2:C1051,"conf_1")</f>
        <v>10</v>
      </c>
      <c r="C1051" t="s">
        <v>12</v>
      </c>
      <c r="D1051">
        <v>0.433</v>
      </c>
    </row>
    <row r="1052" spans="1:4" x14ac:dyDescent="0.3">
      <c r="A1052">
        <v>6</v>
      </c>
      <c r="B1052">
        <f>COUNTIFS($A$2:A1052,A1052,$C$2:C1052,"conf_1")</f>
        <v>10</v>
      </c>
      <c r="C1052" t="s">
        <v>13</v>
      </c>
      <c r="D1052">
        <v>0.63400000000000001</v>
      </c>
    </row>
    <row r="1053" spans="1:4" x14ac:dyDescent="0.3">
      <c r="A1053">
        <v>6</v>
      </c>
      <c r="B1053">
        <f>COUNTIFS($A$2:A1053,A1053,$C$2:C1053,"conf_1")</f>
        <v>10</v>
      </c>
      <c r="C1053" t="s">
        <v>14</v>
      </c>
      <c r="D1053">
        <v>0.13300000000000001</v>
      </c>
    </row>
    <row r="1054" spans="1:4" x14ac:dyDescent="0.3">
      <c r="A1054">
        <v>6</v>
      </c>
      <c r="B1054">
        <f>COUNTIFS($A$2:A1054,A1054,$C$2:C1054,"conf_1")</f>
        <v>10</v>
      </c>
      <c r="C1054" t="s">
        <v>15</v>
      </c>
      <c r="D1054">
        <v>0.45</v>
      </c>
    </row>
    <row r="1055" spans="1:4" x14ac:dyDescent="0.3">
      <c r="A1055">
        <v>6</v>
      </c>
      <c r="B1055">
        <f>COUNTIFS($A$2:A1055,A1055,$C$2:C1055,"conf_1")</f>
        <v>10</v>
      </c>
      <c r="C1055" t="s">
        <v>16</v>
      </c>
      <c r="D1055">
        <v>8.7999999999999995E-2</v>
      </c>
    </row>
    <row r="1056" spans="1:4" x14ac:dyDescent="0.3">
      <c r="A1056">
        <v>6</v>
      </c>
      <c r="B1056">
        <f>COUNTIFS($A$2:A1056,A1056,$C$2:C1056,"conf_1")</f>
        <v>10</v>
      </c>
      <c r="C1056" t="s">
        <v>17</v>
      </c>
      <c r="D1056">
        <v>0.155</v>
      </c>
    </row>
    <row r="1057" spans="1:4" x14ac:dyDescent="0.3">
      <c r="A1057">
        <v>6</v>
      </c>
      <c r="B1057">
        <f>COUNTIFS($A$2:A1057,A1057,$C$2:C1057,"conf_1")</f>
        <v>10</v>
      </c>
      <c r="C1057" t="s">
        <v>18</v>
      </c>
      <c r="D1057">
        <v>0.214</v>
      </c>
    </row>
    <row r="1058" spans="1:4" x14ac:dyDescent="0.3">
      <c r="A1058">
        <v>6</v>
      </c>
      <c r="B1058">
        <f>COUNTIFS($A$2:A1058,A1058,$C$2:C1058,"conf_1")</f>
        <v>10</v>
      </c>
      <c r="C1058" t="s">
        <v>19</v>
      </c>
      <c r="D1058">
        <v>0.40899999999999997</v>
      </c>
    </row>
    <row r="1059" spans="1:4" x14ac:dyDescent="0.3">
      <c r="A1059">
        <v>6</v>
      </c>
      <c r="B1059">
        <f>COUNTIFS($A$2:A1059,A1059,$C$2:C1059,"conf_1")</f>
        <v>10</v>
      </c>
      <c r="C1059" t="s">
        <v>20</v>
      </c>
      <c r="D1059">
        <v>0.42399999999999999</v>
      </c>
    </row>
    <row r="1060" spans="1:4" x14ac:dyDescent="0.3">
      <c r="A1060">
        <v>6</v>
      </c>
      <c r="B1060">
        <f>COUNTIFS($A$2:A1060,A1060,$C$2:C1060,"conf_1")</f>
        <v>10</v>
      </c>
      <c r="C1060" t="s">
        <v>21</v>
      </c>
      <c r="D1060">
        <v>0.22700000000000001</v>
      </c>
    </row>
    <row r="1061" spans="1:4" x14ac:dyDescent="0.3">
      <c r="A1061">
        <v>6</v>
      </c>
      <c r="B1061">
        <f>COUNTIFS($A$2:A1061,A1061,$C$2:C1061,"conf_1")</f>
        <v>10</v>
      </c>
      <c r="C1061" t="s">
        <v>22</v>
      </c>
      <c r="D1061">
        <v>0.161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80951-DFF8-4E11-AAA1-9719BADA04C3}">
  <dimension ref="A1:I36"/>
  <sheetViews>
    <sheetView topLeftCell="A16" workbookViewId="0">
      <selection activeCell="J31" sqref="J31"/>
    </sheetView>
  </sheetViews>
  <sheetFormatPr defaultRowHeight="14.4" x14ac:dyDescent="0.3"/>
  <sheetData>
    <row r="1" spans="1:1" x14ac:dyDescent="0.3">
      <c r="A1" t="s">
        <v>41</v>
      </c>
    </row>
    <row r="2" spans="1:1" x14ac:dyDescent="0.3">
      <c r="A2" t="s">
        <v>42</v>
      </c>
    </row>
    <row r="3" spans="1:1" x14ac:dyDescent="0.3">
      <c r="A3" t="s">
        <v>43</v>
      </c>
    </row>
    <row r="4" spans="1:1" x14ac:dyDescent="0.3">
      <c r="A4" t="s">
        <v>44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  <row r="11" spans="1:1" x14ac:dyDescent="0.3">
      <c r="A11" t="s">
        <v>51</v>
      </c>
    </row>
    <row r="12" spans="1:1" x14ac:dyDescent="0.3">
      <c r="A12" t="s">
        <v>52</v>
      </c>
    </row>
    <row r="13" spans="1:1" x14ac:dyDescent="0.3">
      <c r="A13" t="s">
        <v>53</v>
      </c>
    </row>
    <row r="14" spans="1:1" x14ac:dyDescent="0.3">
      <c r="A14" t="s">
        <v>54</v>
      </c>
    </row>
    <row r="15" spans="1:1" x14ac:dyDescent="0.3">
      <c r="A15" t="s">
        <v>55</v>
      </c>
    </row>
    <row r="18" spans="1:9" x14ac:dyDescent="0.3">
      <c r="A18" t="s">
        <v>56</v>
      </c>
    </row>
    <row r="19" spans="1:9" x14ac:dyDescent="0.3">
      <c r="A19" t="s">
        <v>57</v>
      </c>
    </row>
    <row r="21" spans="1:9" x14ac:dyDescent="0.3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</row>
    <row r="22" spans="1:9" x14ac:dyDescent="0.3">
      <c r="A22" t="s">
        <v>64</v>
      </c>
      <c r="B22" t="s">
        <v>65</v>
      </c>
      <c r="C22">
        <v>9.5000000000000001E-2</v>
      </c>
      <c r="D22">
        <v>7.1999999999999995E-2</v>
      </c>
      <c r="E22">
        <v>0.13500000000000001</v>
      </c>
      <c r="F22">
        <v>100</v>
      </c>
    </row>
    <row r="23" spans="1:9" x14ac:dyDescent="0.3">
      <c r="A23" t="s">
        <v>64</v>
      </c>
      <c r="B23" t="s">
        <v>66</v>
      </c>
      <c r="C23">
        <v>0.10100000000000001</v>
      </c>
      <c r="D23">
        <v>9.5000000000000001E-2</v>
      </c>
      <c r="E23">
        <v>0.107</v>
      </c>
      <c r="F23">
        <v>10</v>
      </c>
      <c r="I23" t="s">
        <v>70</v>
      </c>
    </row>
    <row r="24" spans="1:9" x14ac:dyDescent="0.3">
      <c r="A24" t="s">
        <v>64</v>
      </c>
      <c r="B24" t="s">
        <v>67</v>
      </c>
      <c r="C24">
        <v>7.5999999999999998E-2</v>
      </c>
      <c r="D24">
        <v>2.5000000000000001E-2</v>
      </c>
      <c r="E24">
        <v>0.17199999999999999</v>
      </c>
      <c r="F24">
        <v>120</v>
      </c>
    </row>
    <row r="25" spans="1:9" x14ac:dyDescent="0.3">
      <c r="A25" t="s">
        <v>64</v>
      </c>
      <c r="B25" t="s">
        <v>68</v>
      </c>
      <c r="C25">
        <v>7.6999999999999999E-2</v>
      </c>
      <c r="D25">
        <v>3.5000000000000003E-2</v>
      </c>
      <c r="E25">
        <v>0.104</v>
      </c>
      <c r="F25">
        <v>100</v>
      </c>
    </row>
    <row r="26" spans="1:9" x14ac:dyDescent="0.3">
      <c r="A26" t="s">
        <v>64</v>
      </c>
      <c r="B26" t="s">
        <v>69</v>
      </c>
      <c r="C26">
        <v>0.104</v>
      </c>
      <c r="D26">
        <v>0.06</v>
      </c>
      <c r="E26">
        <v>0.13900000000000001</v>
      </c>
      <c r="F26">
        <v>100</v>
      </c>
    </row>
    <row r="27" spans="1:9" x14ac:dyDescent="0.3">
      <c r="A27" t="s">
        <v>65</v>
      </c>
      <c r="B27" t="s">
        <v>66</v>
      </c>
      <c r="C27">
        <v>0.13800000000000001</v>
      </c>
      <c r="D27">
        <v>0.13100000000000001</v>
      </c>
      <c r="E27">
        <v>0.14699999999999999</v>
      </c>
      <c r="F27">
        <v>10</v>
      </c>
    </row>
    <row r="28" spans="1:9" x14ac:dyDescent="0.3">
      <c r="A28" t="s">
        <v>65</v>
      </c>
      <c r="B28" t="s">
        <v>67</v>
      </c>
      <c r="C28">
        <v>7.1999999999999995E-2</v>
      </c>
      <c r="D28">
        <v>3.5000000000000003E-2</v>
      </c>
      <c r="E28">
        <v>0.10199999999999999</v>
      </c>
      <c r="F28">
        <v>120</v>
      </c>
    </row>
    <row r="29" spans="1:9" x14ac:dyDescent="0.3">
      <c r="A29" t="s">
        <v>65</v>
      </c>
      <c r="B29" t="s">
        <v>68</v>
      </c>
      <c r="C29">
        <v>9.8000000000000004E-2</v>
      </c>
      <c r="D29">
        <v>8.5999999999999993E-2</v>
      </c>
      <c r="E29">
        <v>0.113</v>
      </c>
      <c r="F29">
        <v>100</v>
      </c>
    </row>
    <row r="30" spans="1:9" x14ac:dyDescent="0.3">
      <c r="A30" t="s">
        <v>65</v>
      </c>
      <c r="B30" t="s">
        <v>69</v>
      </c>
      <c r="C30">
        <v>6.9000000000000006E-2</v>
      </c>
      <c r="D30">
        <v>5.6000000000000001E-2</v>
      </c>
      <c r="E30">
        <v>8.2000000000000003E-2</v>
      </c>
      <c r="F30">
        <v>100</v>
      </c>
    </row>
    <row r="31" spans="1:9" x14ac:dyDescent="0.3">
      <c r="A31" t="s">
        <v>66</v>
      </c>
      <c r="B31" t="s">
        <v>67</v>
      </c>
      <c r="C31">
        <v>0.127</v>
      </c>
      <c r="D31">
        <v>7.1999999999999995E-2</v>
      </c>
      <c r="E31">
        <v>0.16700000000000001</v>
      </c>
      <c r="F31">
        <v>12</v>
      </c>
    </row>
    <row r="32" spans="1:9" x14ac:dyDescent="0.3">
      <c r="A32" t="s">
        <v>66</v>
      </c>
      <c r="B32" t="s">
        <v>68</v>
      </c>
      <c r="C32">
        <v>8.6999999999999994E-2</v>
      </c>
      <c r="D32">
        <v>8.6999999999999994E-2</v>
      </c>
      <c r="E32">
        <v>8.7999999999999995E-2</v>
      </c>
      <c r="F32">
        <v>10</v>
      </c>
    </row>
    <row r="33" spans="1:6" x14ac:dyDescent="0.3">
      <c r="A33" t="s">
        <v>66</v>
      </c>
      <c r="B33" t="s">
        <v>69</v>
      </c>
      <c r="C33">
        <v>0.158</v>
      </c>
      <c r="D33">
        <v>0.151</v>
      </c>
      <c r="E33">
        <v>0.161</v>
      </c>
      <c r="F33">
        <v>10</v>
      </c>
    </row>
    <row r="34" spans="1:6" x14ac:dyDescent="0.3">
      <c r="A34" t="s">
        <v>67</v>
      </c>
      <c r="B34" t="s">
        <v>68</v>
      </c>
      <c r="C34">
        <v>8.2000000000000003E-2</v>
      </c>
      <c r="D34">
        <v>2.8000000000000001E-2</v>
      </c>
      <c r="E34">
        <v>0.14899999999999999</v>
      </c>
      <c r="F34">
        <v>120</v>
      </c>
    </row>
    <row r="35" spans="1:6" x14ac:dyDescent="0.3">
      <c r="A35" t="s">
        <v>67</v>
      </c>
      <c r="B35" t="s">
        <v>69</v>
      </c>
      <c r="C35">
        <v>8.1000000000000003E-2</v>
      </c>
      <c r="D35">
        <v>7.0999999999999994E-2</v>
      </c>
      <c r="E35">
        <v>9.5000000000000001E-2</v>
      </c>
      <c r="F35">
        <v>120</v>
      </c>
    </row>
    <row r="36" spans="1:6" x14ac:dyDescent="0.3">
      <c r="A36" t="s">
        <v>68</v>
      </c>
      <c r="B36" t="s">
        <v>69</v>
      </c>
      <c r="C36">
        <v>0.14099999999999999</v>
      </c>
      <c r="D36">
        <v>0.13</v>
      </c>
      <c r="E36">
        <v>0.14799999999999999</v>
      </c>
      <c r="F36">
        <v>100</v>
      </c>
    </row>
  </sheetData>
  <conditionalFormatting sqref="C22:E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4AB0F-3527-4279-82FE-39EFA1D4FED7}">
  <dimension ref="A3:B8"/>
  <sheetViews>
    <sheetView workbookViewId="0">
      <selection activeCell="N13" sqref="N13"/>
    </sheetView>
  </sheetViews>
  <sheetFormatPr defaultRowHeight="14.4" x14ac:dyDescent="0.3"/>
  <cols>
    <col min="1" max="1" width="12.44140625" bestFit="1" customWidth="1"/>
    <col min="2" max="2" width="17" bestFit="1" customWidth="1"/>
  </cols>
  <sheetData>
    <row r="3" spans="1:2" x14ac:dyDescent="0.3">
      <c r="A3" s="1" t="s">
        <v>25</v>
      </c>
      <c r="B3" t="s">
        <v>36</v>
      </c>
    </row>
    <row r="4" spans="1:2" x14ac:dyDescent="0.3">
      <c r="A4" s="2" t="s">
        <v>33</v>
      </c>
      <c r="B4" s="4">
        <v>15</v>
      </c>
    </row>
    <row r="5" spans="1:2" x14ac:dyDescent="0.3">
      <c r="A5" s="2" t="s">
        <v>34</v>
      </c>
      <c r="B5" s="4">
        <v>22</v>
      </c>
    </row>
    <row r="6" spans="1:2" x14ac:dyDescent="0.3">
      <c r="A6" s="2" t="s">
        <v>32</v>
      </c>
      <c r="B6" s="4">
        <v>14</v>
      </c>
    </row>
    <row r="7" spans="1:2" x14ac:dyDescent="0.3">
      <c r="A7" s="2" t="s">
        <v>35</v>
      </c>
      <c r="B7" s="4">
        <v>2</v>
      </c>
    </row>
    <row r="8" spans="1:2" x14ac:dyDescent="0.3">
      <c r="A8" s="2" t="s">
        <v>26</v>
      </c>
      <c r="B8" s="4">
        <v>53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3350-E62D-486E-902E-9EA05A65B0D8}">
  <dimension ref="A3:H17"/>
  <sheetViews>
    <sheetView workbookViewId="0">
      <selection activeCell="L26" sqref="L26"/>
    </sheetView>
  </sheetViews>
  <sheetFormatPr defaultRowHeight="14.4" x14ac:dyDescent="0.3"/>
  <cols>
    <col min="1" max="1" width="14.77734375" bestFit="1" customWidth="1"/>
    <col min="2" max="2" width="15.5546875" bestFit="1" customWidth="1"/>
    <col min="3" max="3" width="7" bestFit="1" customWidth="1"/>
    <col min="4" max="4" width="6" bestFit="1" customWidth="1"/>
    <col min="5" max="5" width="12" bestFit="1" customWidth="1"/>
    <col min="6" max="7" width="7" bestFit="1" customWidth="1"/>
    <col min="8" max="8" width="11" bestFit="1" customWidth="1"/>
  </cols>
  <sheetData>
    <row r="3" spans="1:8" x14ac:dyDescent="0.3">
      <c r="A3" s="1" t="s">
        <v>37</v>
      </c>
      <c r="B3" s="1" t="s">
        <v>30</v>
      </c>
    </row>
    <row r="4" spans="1:8" x14ac:dyDescent="0.3">
      <c r="A4" s="1" t="s">
        <v>25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 t="s">
        <v>26</v>
      </c>
    </row>
    <row r="5" spans="1:8" x14ac:dyDescent="0.3">
      <c r="A5" s="2">
        <v>1</v>
      </c>
      <c r="B5" s="4">
        <v>9.1999999999999998E-2</v>
      </c>
      <c r="C5" s="4">
        <v>2.5999999999999999E-2</v>
      </c>
      <c r="D5" s="4">
        <v>7.4999999999999997E-2</v>
      </c>
      <c r="E5" s="4">
        <v>9.4E-2</v>
      </c>
      <c r="F5" s="4">
        <v>6.0999999999999999E-2</v>
      </c>
      <c r="G5" s="4">
        <v>5.3999999999999999E-2</v>
      </c>
      <c r="H5" s="4">
        <v>6.7000000000000004E-2</v>
      </c>
    </row>
    <row r="6" spans="1:8" x14ac:dyDescent="0.3">
      <c r="A6" s="2">
        <v>2</v>
      </c>
      <c r="B6" s="4">
        <v>9.2999999999999999E-2</v>
      </c>
      <c r="C6" s="4">
        <v>7.0000000000000007E-2</v>
      </c>
      <c r="D6" s="4"/>
      <c r="E6" s="4">
        <v>6.8000000000000005E-2</v>
      </c>
      <c r="F6" s="4">
        <v>6.2E-2</v>
      </c>
      <c r="G6" s="4">
        <v>5.1999999999999998E-2</v>
      </c>
      <c r="H6" s="4">
        <v>6.9000000000000006E-2</v>
      </c>
    </row>
    <row r="7" spans="1:8" x14ac:dyDescent="0.3">
      <c r="A7" s="2">
        <v>3</v>
      </c>
      <c r="B7" s="4">
        <v>0.108</v>
      </c>
      <c r="C7" s="4">
        <v>4.3999999999999997E-2</v>
      </c>
      <c r="D7" s="4"/>
      <c r="E7" s="4">
        <v>6.7000000000000004E-2</v>
      </c>
      <c r="F7" s="4">
        <v>5.8999999999999997E-2</v>
      </c>
      <c r="G7" s="4">
        <v>5.7000000000000002E-2</v>
      </c>
      <c r="H7" s="4">
        <v>6.7000000000000004E-2</v>
      </c>
    </row>
    <row r="8" spans="1:8" x14ac:dyDescent="0.3">
      <c r="A8" s="2">
        <v>4</v>
      </c>
      <c r="B8" s="4">
        <v>0.113</v>
      </c>
      <c r="C8" s="4">
        <v>0.05</v>
      </c>
      <c r="D8" s="4"/>
      <c r="E8" s="4">
        <v>9.5000000000000001E-2</v>
      </c>
      <c r="F8" s="4">
        <v>5.8000000000000003E-2</v>
      </c>
      <c r="G8" s="4">
        <v>5.5E-2</v>
      </c>
      <c r="H8" s="4">
        <v>7.4200000000000002E-2</v>
      </c>
    </row>
    <row r="9" spans="1:8" x14ac:dyDescent="0.3">
      <c r="A9" s="2">
        <v>5</v>
      </c>
      <c r="B9" s="4">
        <v>0.11600000000000001</v>
      </c>
      <c r="C9" s="4">
        <v>2.5000000000000001E-2</v>
      </c>
      <c r="D9" s="4"/>
      <c r="E9" s="4">
        <v>6.5000000000000002E-2</v>
      </c>
      <c r="F9" s="4">
        <v>0.06</v>
      </c>
      <c r="G9" s="4">
        <v>5.6000000000000001E-2</v>
      </c>
      <c r="H9" s="4">
        <v>6.4399999999999999E-2</v>
      </c>
    </row>
    <row r="10" spans="1:8" x14ac:dyDescent="0.3">
      <c r="A10" s="2">
        <v>6</v>
      </c>
      <c r="B10" s="4">
        <v>0.11</v>
      </c>
      <c r="C10" s="4">
        <v>2.5000000000000001E-2</v>
      </c>
      <c r="D10" s="4"/>
      <c r="E10" s="4">
        <v>6.5000000000000002E-2</v>
      </c>
      <c r="F10" s="4">
        <v>0.06</v>
      </c>
      <c r="G10" s="4">
        <v>8.5999999999999993E-2</v>
      </c>
      <c r="H10" s="4">
        <v>6.9199999999999998E-2</v>
      </c>
    </row>
    <row r="11" spans="1:8" x14ac:dyDescent="0.3">
      <c r="A11" s="2">
        <v>7</v>
      </c>
      <c r="B11" s="4">
        <v>0.112</v>
      </c>
      <c r="C11" s="4">
        <v>2.4E-2</v>
      </c>
      <c r="D11" s="4"/>
      <c r="E11" s="4">
        <v>0.09</v>
      </c>
      <c r="F11" s="4">
        <v>6.0999999999999999E-2</v>
      </c>
      <c r="G11" s="4">
        <v>8.3000000000000004E-2</v>
      </c>
      <c r="H11" s="4">
        <v>7.400000000000001E-2</v>
      </c>
    </row>
    <row r="12" spans="1:8" x14ac:dyDescent="0.3">
      <c r="A12" s="2">
        <v>8</v>
      </c>
      <c r="B12" s="4">
        <v>7.8E-2</v>
      </c>
      <c r="C12" s="4">
        <v>2.7E-2</v>
      </c>
      <c r="D12" s="4"/>
      <c r="E12" s="4">
        <v>9.4E-2</v>
      </c>
      <c r="F12" s="4">
        <v>0.06</v>
      </c>
      <c r="G12" s="4">
        <v>5.6000000000000001E-2</v>
      </c>
      <c r="H12" s="4">
        <v>6.3E-2</v>
      </c>
    </row>
    <row r="13" spans="1:8" x14ac:dyDescent="0.3">
      <c r="A13" s="2">
        <v>9</v>
      </c>
      <c r="B13" s="4">
        <v>0.111</v>
      </c>
      <c r="C13" s="4">
        <v>3.9E-2</v>
      </c>
      <c r="D13" s="4"/>
      <c r="E13" s="4">
        <v>8.8999999999999996E-2</v>
      </c>
      <c r="F13" s="4">
        <v>0.06</v>
      </c>
      <c r="G13" s="4">
        <v>8.5000000000000006E-2</v>
      </c>
      <c r="H13" s="4">
        <v>7.6800000000000007E-2</v>
      </c>
    </row>
    <row r="14" spans="1:8" x14ac:dyDescent="0.3">
      <c r="A14" s="2">
        <v>10</v>
      </c>
      <c r="B14" s="4">
        <v>0.109</v>
      </c>
      <c r="C14" s="4">
        <v>2.1999999999999999E-2</v>
      </c>
      <c r="D14" s="4"/>
      <c r="E14" s="4">
        <v>9.6000000000000002E-2</v>
      </c>
      <c r="F14" s="4">
        <v>0.06</v>
      </c>
      <c r="G14" s="4">
        <v>8.7999999999999995E-2</v>
      </c>
      <c r="H14" s="4">
        <v>7.4999999999999997E-2</v>
      </c>
    </row>
    <row r="15" spans="1:8" x14ac:dyDescent="0.3">
      <c r="A15" s="2">
        <v>11</v>
      </c>
      <c r="B15" s="4"/>
      <c r="C15" s="4"/>
      <c r="D15" s="4"/>
      <c r="E15" s="4">
        <v>7.0999999999999994E-2</v>
      </c>
      <c r="F15" s="4"/>
      <c r="G15" s="4"/>
      <c r="H15" s="4">
        <v>7.0999999999999994E-2</v>
      </c>
    </row>
    <row r="16" spans="1:8" x14ac:dyDescent="0.3">
      <c r="A16" s="2">
        <v>12</v>
      </c>
      <c r="B16" s="4"/>
      <c r="C16" s="4"/>
      <c r="D16" s="4"/>
      <c r="E16" s="4">
        <v>0.10299999999999999</v>
      </c>
      <c r="F16" s="4"/>
      <c r="G16" s="4"/>
      <c r="H16" s="4">
        <v>0.10299999999999999</v>
      </c>
    </row>
    <row r="17" spans="1:8" x14ac:dyDescent="0.3">
      <c r="A17" s="2" t="s">
        <v>26</v>
      </c>
      <c r="B17" s="4">
        <v>0.1042</v>
      </c>
      <c r="C17" s="4">
        <v>3.5200000000000002E-2</v>
      </c>
      <c r="D17" s="4">
        <v>7.4999999999999997E-2</v>
      </c>
      <c r="E17" s="4">
        <v>8.3083333333333328E-2</v>
      </c>
      <c r="F17" s="4">
        <v>6.0100000000000001E-2</v>
      </c>
      <c r="G17" s="4">
        <v>6.7199999999999996E-2</v>
      </c>
      <c r="H17" s="4">
        <v>7.0547169811320767E-2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9AFF-B3A2-4C9F-AA19-3CD0AFE35CDA}">
  <dimension ref="A1:Q74"/>
  <sheetViews>
    <sheetView topLeftCell="A22" workbookViewId="0">
      <selection activeCell="C38" sqref="C38"/>
    </sheetView>
  </sheetViews>
  <sheetFormatPr defaultRowHeight="14.4" x14ac:dyDescent="0.3"/>
  <sheetData>
    <row r="1" spans="1:17" x14ac:dyDescent="0.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</row>
    <row r="2" spans="1:17" x14ac:dyDescent="0.3">
      <c r="A2" t="s">
        <v>64</v>
      </c>
      <c r="B2">
        <v>1</v>
      </c>
      <c r="C2">
        <v>0.17799999999999999</v>
      </c>
      <c r="D2">
        <v>180</v>
      </c>
      <c r="E2">
        <v>18.8</v>
      </c>
      <c r="F2">
        <v>-159.4</v>
      </c>
      <c r="G2">
        <v>-126.1</v>
      </c>
      <c r="H2" t="s">
        <v>85</v>
      </c>
      <c r="J2">
        <v>-166.8</v>
      </c>
      <c r="K2">
        <v>-165.1</v>
      </c>
      <c r="L2">
        <v>-164.5</v>
      </c>
      <c r="M2">
        <v>-160.80000000000001</v>
      </c>
      <c r="N2">
        <v>-159.80000000000001</v>
      </c>
      <c r="Q2" t="s">
        <v>87</v>
      </c>
    </row>
    <row r="3" spans="1:17" x14ac:dyDescent="0.3">
      <c r="A3" t="s">
        <v>64</v>
      </c>
      <c r="B3">
        <v>2</v>
      </c>
      <c r="C3">
        <v>0.16400000000000001</v>
      </c>
      <c r="D3">
        <v>180</v>
      </c>
      <c r="E3">
        <v>18.73</v>
      </c>
      <c r="F3">
        <v>-156.69999999999999</v>
      </c>
      <c r="G3">
        <v>-125</v>
      </c>
      <c r="H3" t="s">
        <v>85</v>
      </c>
      <c r="I3">
        <v>-59.4</v>
      </c>
      <c r="J3">
        <v>-165.1</v>
      </c>
      <c r="K3">
        <v>-160.1</v>
      </c>
      <c r="L3">
        <v>-160</v>
      </c>
      <c r="M3">
        <v>-157.4</v>
      </c>
      <c r="N3">
        <v>-161.9</v>
      </c>
    </row>
    <row r="4" spans="1:17" x14ac:dyDescent="0.3">
      <c r="A4" t="s">
        <v>64</v>
      </c>
      <c r="B4">
        <v>3</v>
      </c>
      <c r="C4">
        <v>0.193</v>
      </c>
      <c r="D4">
        <v>180</v>
      </c>
      <c r="E4">
        <v>18.47</v>
      </c>
      <c r="F4">
        <v>-157.5</v>
      </c>
      <c r="G4">
        <v>-128.4</v>
      </c>
      <c r="H4" t="s">
        <v>85</v>
      </c>
      <c r="I4">
        <v>-71.400000000000006</v>
      </c>
      <c r="J4">
        <v>-164.3</v>
      </c>
      <c r="K4">
        <v>-159.6</v>
      </c>
      <c r="L4">
        <v>-159.5</v>
      </c>
      <c r="M4">
        <v>-158.30000000000001</v>
      </c>
      <c r="N4">
        <v>-160.5</v>
      </c>
    </row>
    <row r="5" spans="1:17" x14ac:dyDescent="0.3">
      <c r="A5" t="s">
        <v>64</v>
      </c>
      <c r="B5">
        <v>4</v>
      </c>
      <c r="C5">
        <v>0.189</v>
      </c>
      <c r="D5">
        <v>180</v>
      </c>
      <c r="E5">
        <v>18.73</v>
      </c>
      <c r="F5">
        <v>-155.5</v>
      </c>
      <c r="G5">
        <v>-134.1</v>
      </c>
      <c r="H5" t="s">
        <v>85</v>
      </c>
      <c r="I5">
        <v>-83.1</v>
      </c>
      <c r="J5">
        <v>-165</v>
      </c>
      <c r="K5">
        <v>-162.4</v>
      </c>
      <c r="L5">
        <v>-161.69999999999999</v>
      </c>
      <c r="M5">
        <v>-161.30000000000001</v>
      </c>
      <c r="N5">
        <v>-159.6</v>
      </c>
    </row>
    <row r="6" spans="1:17" x14ac:dyDescent="0.3">
      <c r="A6" t="s">
        <v>64</v>
      </c>
      <c r="B6">
        <v>5</v>
      </c>
      <c r="C6">
        <v>0.14899999999999999</v>
      </c>
      <c r="D6">
        <v>180</v>
      </c>
      <c r="E6">
        <v>18.57</v>
      </c>
      <c r="F6">
        <v>-154.19999999999999</v>
      </c>
      <c r="G6">
        <v>-134.6</v>
      </c>
      <c r="H6" t="s">
        <v>85</v>
      </c>
      <c r="I6">
        <v>-22.7</v>
      </c>
      <c r="J6">
        <v>-167.1</v>
      </c>
      <c r="K6">
        <v>-160.69999999999999</v>
      </c>
      <c r="L6">
        <v>-159.9</v>
      </c>
      <c r="M6">
        <v>-160.80000000000001</v>
      </c>
      <c r="N6">
        <v>-161.69999999999999</v>
      </c>
    </row>
    <row r="7" spans="1:17" x14ac:dyDescent="0.3">
      <c r="A7" t="s">
        <v>64</v>
      </c>
      <c r="B7">
        <v>6</v>
      </c>
      <c r="C7">
        <v>0.184</v>
      </c>
      <c r="D7">
        <v>180</v>
      </c>
      <c r="E7">
        <v>18.8</v>
      </c>
      <c r="F7">
        <v>-158.6</v>
      </c>
      <c r="G7">
        <v>-128.9</v>
      </c>
      <c r="H7" t="s">
        <v>85</v>
      </c>
      <c r="I7">
        <v>-82.9</v>
      </c>
      <c r="J7">
        <v>-163.5</v>
      </c>
      <c r="K7">
        <v>-161.80000000000001</v>
      </c>
      <c r="L7">
        <v>-156.80000000000001</v>
      </c>
      <c r="M7">
        <v>-158.80000000000001</v>
      </c>
      <c r="N7">
        <v>-158.80000000000001</v>
      </c>
    </row>
    <row r="8" spans="1:17" x14ac:dyDescent="0.3">
      <c r="A8" t="s">
        <v>64</v>
      </c>
      <c r="B8">
        <v>7</v>
      </c>
      <c r="C8">
        <v>0.19400000000000001</v>
      </c>
      <c r="D8">
        <v>180</v>
      </c>
      <c r="E8">
        <v>18.760000000000002</v>
      </c>
      <c r="F8">
        <v>-157.5</v>
      </c>
      <c r="G8">
        <v>-130.1</v>
      </c>
      <c r="H8" t="s">
        <v>85</v>
      </c>
      <c r="I8">
        <v>-83.5</v>
      </c>
      <c r="J8">
        <v>-166</v>
      </c>
      <c r="K8">
        <v>-163.4</v>
      </c>
      <c r="L8">
        <v>-162.5</v>
      </c>
      <c r="M8">
        <v>-161.6</v>
      </c>
      <c r="N8">
        <v>-158.19999999999999</v>
      </c>
    </row>
    <row r="9" spans="1:17" x14ac:dyDescent="0.3">
      <c r="A9" t="s">
        <v>64</v>
      </c>
      <c r="B9">
        <v>8</v>
      </c>
      <c r="C9">
        <v>0.16700000000000001</v>
      </c>
      <c r="D9">
        <v>180</v>
      </c>
      <c r="E9">
        <v>18.71</v>
      </c>
      <c r="F9">
        <v>-156.9</v>
      </c>
      <c r="G9">
        <v>-129.19999999999999</v>
      </c>
      <c r="H9" t="s">
        <v>85</v>
      </c>
      <c r="I9">
        <v>-72</v>
      </c>
      <c r="J9">
        <v>-166.4</v>
      </c>
      <c r="K9">
        <v>-161.80000000000001</v>
      </c>
      <c r="L9">
        <v>-160</v>
      </c>
      <c r="M9">
        <v>-159</v>
      </c>
      <c r="N9">
        <v>-164.7</v>
      </c>
    </row>
    <row r="10" spans="1:17" x14ac:dyDescent="0.3">
      <c r="A10" t="s">
        <v>64</v>
      </c>
      <c r="B10">
        <v>9</v>
      </c>
      <c r="C10">
        <v>0.19900000000000001</v>
      </c>
      <c r="D10">
        <v>180</v>
      </c>
      <c r="E10">
        <v>18.64</v>
      </c>
      <c r="F10">
        <v>-154.6</v>
      </c>
      <c r="G10">
        <v>-134.9</v>
      </c>
      <c r="H10" t="s">
        <v>85</v>
      </c>
      <c r="I10">
        <v>-71.2</v>
      </c>
      <c r="J10">
        <v>-163.5</v>
      </c>
      <c r="K10">
        <v>-161</v>
      </c>
      <c r="L10">
        <v>-158.6</v>
      </c>
      <c r="M10">
        <v>-158.5</v>
      </c>
      <c r="N10">
        <v>-158.6</v>
      </c>
    </row>
    <row r="11" spans="1:17" x14ac:dyDescent="0.3">
      <c r="A11" t="s">
        <v>64</v>
      </c>
      <c r="B11">
        <v>10</v>
      </c>
      <c r="C11">
        <v>0.16500000000000001</v>
      </c>
      <c r="D11">
        <v>180</v>
      </c>
      <c r="E11">
        <v>18.760000000000002</v>
      </c>
      <c r="F11">
        <v>-155.9</v>
      </c>
      <c r="G11">
        <v>-128.9</v>
      </c>
      <c r="H11" t="s">
        <v>85</v>
      </c>
      <c r="I11">
        <v>-84.1</v>
      </c>
      <c r="J11">
        <v>-162.80000000000001</v>
      </c>
      <c r="K11">
        <v>-159.1</v>
      </c>
      <c r="L11">
        <v>-156.9</v>
      </c>
      <c r="M11">
        <v>-157.30000000000001</v>
      </c>
      <c r="N11">
        <v>-163</v>
      </c>
    </row>
    <row r="12" spans="1:17" x14ac:dyDescent="0.3">
      <c r="A12" t="s">
        <v>65</v>
      </c>
      <c r="B12">
        <v>1</v>
      </c>
      <c r="C12">
        <v>0.20399999999999999</v>
      </c>
      <c r="D12">
        <v>180</v>
      </c>
      <c r="E12">
        <v>19.41</v>
      </c>
      <c r="F12">
        <v>-155.1</v>
      </c>
      <c r="G12">
        <v>-119</v>
      </c>
      <c r="H12">
        <v>-154.4</v>
      </c>
      <c r="I12">
        <v>-111.7</v>
      </c>
      <c r="J12">
        <v>-153.30000000000001</v>
      </c>
      <c r="K12">
        <v>-156</v>
      </c>
      <c r="L12">
        <v>-155.80000000000001</v>
      </c>
      <c r="M12">
        <v>-156.80000000000001</v>
      </c>
      <c r="N12">
        <v>-158.30000000000001</v>
      </c>
    </row>
    <row r="13" spans="1:17" x14ac:dyDescent="0.3">
      <c r="A13" t="s">
        <v>65</v>
      </c>
      <c r="B13">
        <v>2</v>
      </c>
      <c r="C13">
        <v>0.215</v>
      </c>
      <c r="D13">
        <v>180</v>
      </c>
      <c r="E13">
        <v>19.399999999999999</v>
      </c>
      <c r="F13">
        <v>-154.5</v>
      </c>
      <c r="G13">
        <v>-118.4</v>
      </c>
      <c r="H13">
        <v>-155.6</v>
      </c>
      <c r="I13">
        <v>-118</v>
      </c>
      <c r="J13">
        <v>-153.4</v>
      </c>
      <c r="K13">
        <v>-155.69999999999999</v>
      </c>
      <c r="L13">
        <v>-155.6</v>
      </c>
      <c r="M13">
        <v>-155.80000000000001</v>
      </c>
      <c r="N13">
        <v>-169.2</v>
      </c>
    </row>
    <row r="14" spans="1:17" x14ac:dyDescent="0.3">
      <c r="A14" t="s">
        <v>65</v>
      </c>
      <c r="B14">
        <v>3</v>
      </c>
      <c r="C14">
        <v>0.215</v>
      </c>
      <c r="D14">
        <v>180</v>
      </c>
      <c r="E14">
        <v>19.41</v>
      </c>
      <c r="F14">
        <v>-154.6</v>
      </c>
      <c r="G14">
        <v>-119.1</v>
      </c>
      <c r="H14">
        <v>-156.5</v>
      </c>
      <c r="I14">
        <v>-111.9</v>
      </c>
      <c r="J14">
        <v>-154</v>
      </c>
      <c r="K14">
        <v>-155.30000000000001</v>
      </c>
      <c r="L14">
        <v>-155.80000000000001</v>
      </c>
      <c r="M14">
        <v>-156.4</v>
      </c>
      <c r="N14">
        <v>-157.4</v>
      </c>
    </row>
    <row r="15" spans="1:17" x14ac:dyDescent="0.3">
      <c r="A15" t="s">
        <v>65</v>
      </c>
      <c r="B15">
        <v>4</v>
      </c>
      <c r="C15">
        <v>0.224</v>
      </c>
      <c r="D15">
        <v>180</v>
      </c>
      <c r="E15">
        <v>19.54</v>
      </c>
      <c r="F15">
        <v>-155</v>
      </c>
      <c r="G15">
        <v>-119.2</v>
      </c>
      <c r="H15">
        <v>-156</v>
      </c>
      <c r="I15">
        <v>-111.6</v>
      </c>
      <c r="J15">
        <v>-154</v>
      </c>
      <c r="K15">
        <v>-155.9</v>
      </c>
      <c r="L15">
        <v>-155.80000000000001</v>
      </c>
      <c r="M15">
        <v>-156.6</v>
      </c>
      <c r="N15">
        <v>-158.30000000000001</v>
      </c>
    </row>
    <row r="16" spans="1:17" x14ac:dyDescent="0.3">
      <c r="A16" t="s">
        <v>65</v>
      </c>
      <c r="B16">
        <v>5</v>
      </c>
      <c r="C16">
        <v>0.217</v>
      </c>
      <c r="D16">
        <v>180</v>
      </c>
      <c r="E16">
        <v>19.59</v>
      </c>
      <c r="F16">
        <v>-154.9</v>
      </c>
      <c r="G16">
        <v>-118.9</v>
      </c>
      <c r="H16">
        <v>-155.5</v>
      </c>
      <c r="I16">
        <v>-156.19999999999999</v>
      </c>
      <c r="J16">
        <v>-153.1</v>
      </c>
      <c r="K16">
        <v>-156</v>
      </c>
      <c r="L16">
        <v>-156.1</v>
      </c>
      <c r="M16">
        <v>-156.6</v>
      </c>
      <c r="N16">
        <v>-162.5</v>
      </c>
    </row>
    <row r="17" spans="1:14" x14ac:dyDescent="0.3">
      <c r="A17" t="s">
        <v>65</v>
      </c>
      <c r="B17">
        <v>6</v>
      </c>
      <c r="C17">
        <v>0.22600000000000001</v>
      </c>
      <c r="D17">
        <v>180</v>
      </c>
      <c r="E17">
        <v>19.43</v>
      </c>
      <c r="F17">
        <v>-155.30000000000001</v>
      </c>
      <c r="G17">
        <v>-118.4</v>
      </c>
      <c r="H17">
        <v>-152.1</v>
      </c>
      <c r="I17">
        <v>-159.4</v>
      </c>
      <c r="J17">
        <v>-153.30000000000001</v>
      </c>
      <c r="K17">
        <v>-156.1</v>
      </c>
      <c r="L17">
        <v>-156.1</v>
      </c>
      <c r="M17">
        <v>-156.9</v>
      </c>
      <c r="N17">
        <v>-157.30000000000001</v>
      </c>
    </row>
    <row r="18" spans="1:14" x14ac:dyDescent="0.3">
      <c r="A18" t="s">
        <v>65</v>
      </c>
      <c r="B18">
        <v>7</v>
      </c>
      <c r="C18">
        <v>0.22500000000000001</v>
      </c>
      <c r="D18">
        <v>180</v>
      </c>
      <c r="E18">
        <v>19.440000000000001</v>
      </c>
      <c r="F18">
        <v>-154.30000000000001</v>
      </c>
      <c r="G18">
        <v>-117.6</v>
      </c>
      <c r="H18">
        <v>-154.80000000000001</v>
      </c>
      <c r="I18">
        <v>-112.3</v>
      </c>
      <c r="J18">
        <v>-153.69999999999999</v>
      </c>
      <c r="K18">
        <v>-155.9</v>
      </c>
      <c r="L18">
        <v>-155.80000000000001</v>
      </c>
      <c r="M18">
        <v>-156.5</v>
      </c>
      <c r="N18">
        <v>-158.80000000000001</v>
      </c>
    </row>
    <row r="19" spans="1:14" x14ac:dyDescent="0.3">
      <c r="A19" t="s">
        <v>65</v>
      </c>
      <c r="B19">
        <v>8</v>
      </c>
      <c r="C19">
        <v>0.23300000000000001</v>
      </c>
      <c r="D19">
        <v>180</v>
      </c>
      <c r="E19">
        <v>19.47</v>
      </c>
      <c r="F19">
        <v>-154.1</v>
      </c>
      <c r="G19">
        <v>-118</v>
      </c>
      <c r="H19">
        <v>-156.80000000000001</v>
      </c>
      <c r="I19">
        <v>-112.2</v>
      </c>
      <c r="J19">
        <v>-154.6</v>
      </c>
      <c r="K19">
        <v>-155.30000000000001</v>
      </c>
      <c r="L19">
        <v>-155.19999999999999</v>
      </c>
      <c r="M19">
        <v>-156.5</v>
      </c>
      <c r="N19">
        <v>-159.5</v>
      </c>
    </row>
    <row r="20" spans="1:14" x14ac:dyDescent="0.3">
      <c r="A20" t="s">
        <v>65</v>
      </c>
      <c r="B20">
        <v>9</v>
      </c>
      <c r="C20">
        <v>0.28899999999999998</v>
      </c>
      <c r="D20">
        <v>180</v>
      </c>
      <c r="E20">
        <v>19.489999999999998</v>
      </c>
      <c r="F20">
        <v>-154.30000000000001</v>
      </c>
      <c r="G20">
        <v>-117.8</v>
      </c>
      <c r="H20">
        <v>-156.4</v>
      </c>
      <c r="I20">
        <v>-111.3</v>
      </c>
      <c r="J20">
        <v>-153.69999999999999</v>
      </c>
      <c r="K20">
        <v>-155.19999999999999</v>
      </c>
      <c r="L20">
        <v>-155.6</v>
      </c>
      <c r="M20">
        <v>-156.4</v>
      </c>
      <c r="N20">
        <v>-158.6</v>
      </c>
    </row>
    <row r="21" spans="1:14" x14ac:dyDescent="0.3">
      <c r="A21" t="s">
        <v>65</v>
      </c>
      <c r="B21">
        <v>10</v>
      </c>
      <c r="C21">
        <v>0.20699999999999999</v>
      </c>
      <c r="D21">
        <v>180</v>
      </c>
      <c r="E21">
        <v>19.45</v>
      </c>
      <c r="F21">
        <v>-155.30000000000001</v>
      </c>
      <c r="G21">
        <v>-114.2</v>
      </c>
      <c r="H21">
        <v>-156.6</v>
      </c>
      <c r="I21">
        <v>-119.5</v>
      </c>
      <c r="J21">
        <v>-154.4</v>
      </c>
      <c r="K21">
        <v>-155.80000000000001</v>
      </c>
      <c r="L21">
        <v>-156.1</v>
      </c>
      <c r="M21">
        <v>-156.6</v>
      </c>
      <c r="N21">
        <v>-160.30000000000001</v>
      </c>
    </row>
    <row r="22" spans="1:14" x14ac:dyDescent="0.3">
      <c r="A22" t="s">
        <v>66</v>
      </c>
      <c r="B22">
        <v>1</v>
      </c>
      <c r="C22">
        <v>0.107</v>
      </c>
      <c r="D22">
        <v>180</v>
      </c>
      <c r="E22">
        <v>19.57</v>
      </c>
      <c r="F22">
        <v>-162</v>
      </c>
      <c r="G22">
        <v>-119.9</v>
      </c>
      <c r="H22">
        <v>-127.9</v>
      </c>
      <c r="I22">
        <v>-127.8</v>
      </c>
      <c r="J22">
        <v>-152.69999999999999</v>
      </c>
      <c r="K22">
        <v>176.6</v>
      </c>
      <c r="L22">
        <v>-166.4</v>
      </c>
      <c r="M22">
        <v>-155.80000000000001</v>
      </c>
      <c r="N22">
        <v>-153.4</v>
      </c>
    </row>
    <row r="23" spans="1:14" x14ac:dyDescent="0.3">
      <c r="A23" t="s">
        <v>67</v>
      </c>
      <c r="B23">
        <v>1</v>
      </c>
      <c r="C23">
        <v>0.14199999999999999</v>
      </c>
      <c r="D23">
        <v>180</v>
      </c>
      <c r="E23">
        <v>17.5</v>
      </c>
      <c r="F23">
        <v>-148.4</v>
      </c>
      <c r="G23">
        <v>-175</v>
      </c>
      <c r="H23">
        <v>-134</v>
      </c>
      <c r="I23">
        <v>-43.4</v>
      </c>
      <c r="J23">
        <v>-164.7</v>
      </c>
      <c r="K23">
        <v>172.7</v>
      </c>
      <c r="L23">
        <v>-158.19999999999999</v>
      </c>
      <c r="M23">
        <v>-151.4</v>
      </c>
      <c r="N23">
        <v>-151.6</v>
      </c>
    </row>
    <row r="24" spans="1:14" x14ac:dyDescent="0.3">
      <c r="A24" t="s">
        <v>67</v>
      </c>
      <c r="B24">
        <v>2</v>
      </c>
      <c r="C24">
        <v>0.112</v>
      </c>
      <c r="D24">
        <v>180</v>
      </c>
      <c r="E24">
        <v>17.78</v>
      </c>
      <c r="F24">
        <v>-154.5</v>
      </c>
      <c r="G24">
        <v>-159.30000000000001</v>
      </c>
      <c r="H24">
        <v>-130.6</v>
      </c>
      <c r="I24">
        <v>-48.2</v>
      </c>
      <c r="J24">
        <v>-161.9</v>
      </c>
      <c r="K24">
        <v>157.19999999999999</v>
      </c>
      <c r="L24">
        <v>-163.80000000000001</v>
      </c>
      <c r="M24">
        <v>-153.19999999999999</v>
      </c>
      <c r="N24">
        <v>-151.19999999999999</v>
      </c>
    </row>
    <row r="25" spans="1:14" x14ac:dyDescent="0.3">
      <c r="A25" t="s">
        <v>67</v>
      </c>
      <c r="B25">
        <v>3</v>
      </c>
      <c r="C25">
        <v>0.23799999999999999</v>
      </c>
      <c r="D25">
        <v>180</v>
      </c>
      <c r="E25">
        <v>17.79</v>
      </c>
      <c r="F25">
        <v>-148.80000000000001</v>
      </c>
      <c r="G25">
        <v>-157.9</v>
      </c>
      <c r="H25">
        <v>-137.80000000000001</v>
      </c>
      <c r="I25">
        <v>-58.1</v>
      </c>
      <c r="J25">
        <v>-167.7</v>
      </c>
      <c r="K25">
        <v>164.8</v>
      </c>
      <c r="L25">
        <v>-157.5</v>
      </c>
      <c r="M25">
        <v>-152.5</v>
      </c>
      <c r="N25">
        <v>-152.19999999999999</v>
      </c>
    </row>
    <row r="26" spans="1:14" x14ac:dyDescent="0.3">
      <c r="A26" t="s">
        <v>67</v>
      </c>
      <c r="B26">
        <v>4</v>
      </c>
      <c r="C26">
        <v>0.13900000000000001</v>
      </c>
      <c r="D26">
        <v>180</v>
      </c>
      <c r="E26">
        <v>17.73</v>
      </c>
      <c r="F26">
        <v>-156.19999999999999</v>
      </c>
      <c r="G26">
        <v>-146.6</v>
      </c>
      <c r="H26">
        <v>-142.5</v>
      </c>
      <c r="I26">
        <v>-56.8</v>
      </c>
      <c r="J26">
        <v>-166.5</v>
      </c>
      <c r="K26">
        <v>159.9</v>
      </c>
      <c r="L26">
        <v>-159.80000000000001</v>
      </c>
      <c r="M26">
        <v>-153.69999999999999</v>
      </c>
      <c r="N26">
        <v>-151.69999999999999</v>
      </c>
    </row>
    <row r="27" spans="1:14" x14ac:dyDescent="0.3">
      <c r="A27" t="s">
        <v>67</v>
      </c>
      <c r="B27">
        <v>5</v>
      </c>
      <c r="C27">
        <v>3.7999999999999999E-2</v>
      </c>
      <c r="D27">
        <v>180</v>
      </c>
      <c r="E27">
        <v>17.78</v>
      </c>
      <c r="F27">
        <v>-162.5</v>
      </c>
      <c r="G27">
        <v>-142.9</v>
      </c>
      <c r="H27">
        <v>-146.19999999999999</v>
      </c>
      <c r="I27">
        <v>-56.9</v>
      </c>
      <c r="J27">
        <v>-166.6</v>
      </c>
      <c r="K27">
        <v>163.6</v>
      </c>
      <c r="L27">
        <v>-159.80000000000001</v>
      </c>
      <c r="M27">
        <v>-152.80000000000001</v>
      </c>
      <c r="N27">
        <v>-152</v>
      </c>
    </row>
    <row r="28" spans="1:14" x14ac:dyDescent="0.3">
      <c r="A28" t="s">
        <v>67</v>
      </c>
      <c r="B28">
        <v>6</v>
      </c>
      <c r="C28">
        <v>0.122</v>
      </c>
      <c r="D28">
        <v>180</v>
      </c>
      <c r="E28">
        <v>17.38</v>
      </c>
      <c r="F28">
        <v>-153.30000000000001</v>
      </c>
      <c r="G28">
        <v>-167.3</v>
      </c>
      <c r="H28">
        <v>-142.19999999999999</v>
      </c>
      <c r="I28">
        <v>-40.4</v>
      </c>
      <c r="J28">
        <v>-169.6</v>
      </c>
      <c r="K28">
        <v>177.8</v>
      </c>
      <c r="L28">
        <v>-154.30000000000001</v>
      </c>
      <c r="M28">
        <v>-150.6</v>
      </c>
      <c r="N28">
        <v>-151.80000000000001</v>
      </c>
    </row>
    <row r="29" spans="1:14" x14ac:dyDescent="0.3">
      <c r="A29" t="s">
        <v>67</v>
      </c>
      <c r="B29">
        <v>7</v>
      </c>
      <c r="C29">
        <v>0.155</v>
      </c>
      <c r="D29">
        <v>180</v>
      </c>
      <c r="E29">
        <v>17.57</v>
      </c>
      <c r="F29">
        <v>-149</v>
      </c>
      <c r="G29">
        <v>-175.9</v>
      </c>
      <c r="H29">
        <v>-123.5</v>
      </c>
      <c r="I29">
        <v>-43.1</v>
      </c>
      <c r="J29">
        <v>-169.8</v>
      </c>
      <c r="K29">
        <v>172.8</v>
      </c>
      <c r="L29">
        <v>-158.4</v>
      </c>
      <c r="M29">
        <v>-151.9</v>
      </c>
      <c r="N29">
        <v>-151.6</v>
      </c>
    </row>
    <row r="30" spans="1:14" x14ac:dyDescent="0.3">
      <c r="A30" t="s">
        <v>67</v>
      </c>
      <c r="B30">
        <v>8</v>
      </c>
      <c r="C30">
        <v>0.129</v>
      </c>
      <c r="D30">
        <v>180</v>
      </c>
      <c r="E30">
        <v>17.93</v>
      </c>
      <c r="F30">
        <v>-153.9</v>
      </c>
      <c r="G30">
        <v>-168.2</v>
      </c>
      <c r="H30">
        <v>-136.6</v>
      </c>
      <c r="I30">
        <v>-42.8</v>
      </c>
      <c r="J30">
        <v>-166.7</v>
      </c>
      <c r="K30">
        <v>168.6</v>
      </c>
      <c r="L30">
        <v>-156.5</v>
      </c>
      <c r="M30">
        <v>-151</v>
      </c>
      <c r="N30">
        <v>-151.69999999999999</v>
      </c>
    </row>
    <row r="31" spans="1:14" x14ac:dyDescent="0.3">
      <c r="A31" t="s">
        <v>67</v>
      </c>
      <c r="B31">
        <v>9</v>
      </c>
      <c r="C31">
        <v>7.5999999999999998E-2</v>
      </c>
      <c r="D31">
        <v>180</v>
      </c>
      <c r="E31">
        <v>17.579999999999998</v>
      </c>
      <c r="F31">
        <v>-162.80000000000001</v>
      </c>
      <c r="G31">
        <v>-120.4</v>
      </c>
      <c r="H31">
        <v>-124.7</v>
      </c>
      <c r="I31">
        <v>-53.7</v>
      </c>
      <c r="J31">
        <v>-168.6</v>
      </c>
      <c r="K31">
        <v>158.9</v>
      </c>
      <c r="L31">
        <v>-160.30000000000001</v>
      </c>
      <c r="M31">
        <v>-152.6</v>
      </c>
      <c r="N31">
        <v>-152.1</v>
      </c>
    </row>
    <row r="32" spans="1:14" x14ac:dyDescent="0.3">
      <c r="A32" t="s">
        <v>67</v>
      </c>
      <c r="B32">
        <v>10</v>
      </c>
      <c r="C32">
        <v>0.108</v>
      </c>
      <c r="D32">
        <v>180</v>
      </c>
      <c r="E32">
        <v>17.91</v>
      </c>
      <c r="F32">
        <v>-153.69999999999999</v>
      </c>
      <c r="G32">
        <v>-165</v>
      </c>
      <c r="H32">
        <v>-153.30000000000001</v>
      </c>
      <c r="I32">
        <v>-68.3</v>
      </c>
      <c r="J32">
        <v>-166</v>
      </c>
      <c r="K32">
        <v>167.9</v>
      </c>
      <c r="L32">
        <v>-157.4</v>
      </c>
      <c r="M32">
        <v>-151</v>
      </c>
      <c r="N32">
        <v>-151.9</v>
      </c>
    </row>
    <row r="33" spans="1:14" x14ac:dyDescent="0.3">
      <c r="A33" t="s">
        <v>67</v>
      </c>
      <c r="B33">
        <v>11</v>
      </c>
      <c r="C33">
        <v>0.151</v>
      </c>
      <c r="D33">
        <v>180</v>
      </c>
      <c r="E33">
        <v>17.739999999999998</v>
      </c>
      <c r="F33">
        <v>-146.1</v>
      </c>
      <c r="G33">
        <v>-148.4</v>
      </c>
      <c r="H33">
        <v>-156.69999999999999</v>
      </c>
      <c r="I33">
        <v>-53.1</v>
      </c>
      <c r="J33">
        <v>-162.9</v>
      </c>
      <c r="K33">
        <v>179.6</v>
      </c>
      <c r="L33">
        <v>-149.19999999999999</v>
      </c>
      <c r="M33">
        <v>-149.6</v>
      </c>
      <c r="N33">
        <v>-150.9</v>
      </c>
    </row>
    <row r="34" spans="1:14" x14ac:dyDescent="0.3">
      <c r="A34" t="s">
        <v>67</v>
      </c>
      <c r="B34">
        <v>12</v>
      </c>
      <c r="C34">
        <v>0.18099999999999999</v>
      </c>
      <c r="D34">
        <v>180</v>
      </c>
      <c r="E34">
        <v>17.45</v>
      </c>
      <c r="F34">
        <v>-157.4</v>
      </c>
      <c r="G34">
        <v>-159.9</v>
      </c>
      <c r="H34">
        <v>-149.30000000000001</v>
      </c>
      <c r="I34">
        <v>-38.1</v>
      </c>
      <c r="J34">
        <v>-164.7</v>
      </c>
      <c r="K34">
        <v>164.1</v>
      </c>
      <c r="L34">
        <v>-159.4</v>
      </c>
      <c r="M34">
        <v>-151.69999999999999</v>
      </c>
      <c r="N34">
        <v>-151.5</v>
      </c>
    </row>
    <row r="35" spans="1:14" x14ac:dyDescent="0.3">
      <c r="A35" t="s">
        <v>68</v>
      </c>
      <c r="B35">
        <v>1</v>
      </c>
      <c r="C35">
        <v>0.318</v>
      </c>
      <c r="D35">
        <v>180</v>
      </c>
      <c r="E35">
        <v>19.11</v>
      </c>
      <c r="F35">
        <v>-123.1</v>
      </c>
      <c r="G35">
        <v>-156.6</v>
      </c>
      <c r="H35">
        <v>-93.4</v>
      </c>
      <c r="I35">
        <v>-112.9</v>
      </c>
      <c r="J35">
        <v>-157</v>
      </c>
      <c r="K35">
        <v>-145.80000000000001</v>
      </c>
      <c r="L35">
        <v>-156.1</v>
      </c>
      <c r="M35">
        <v>-157.30000000000001</v>
      </c>
      <c r="N35">
        <v>-158.1</v>
      </c>
    </row>
    <row r="36" spans="1:14" x14ac:dyDescent="0.3">
      <c r="A36" t="s">
        <v>68</v>
      </c>
      <c r="B36">
        <v>2</v>
      </c>
      <c r="C36">
        <v>0.315</v>
      </c>
      <c r="D36">
        <v>180</v>
      </c>
      <c r="E36">
        <v>19.010000000000002</v>
      </c>
      <c r="F36">
        <v>-122.3</v>
      </c>
      <c r="G36">
        <v>-155.9</v>
      </c>
      <c r="H36">
        <v>-93.7</v>
      </c>
      <c r="I36">
        <v>-113</v>
      </c>
      <c r="J36">
        <v>-156.6</v>
      </c>
      <c r="K36">
        <v>-127.5</v>
      </c>
      <c r="L36">
        <v>-154.6</v>
      </c>
      <c r="M36">
        <v>-157.30000000000001</v>
      </c>
      <c r="N36">
        <v>-158.5</v>
      </c>
    </row>
    <row r="37" spans="1:14" x14ac:dyDescent="0.3">
      <c r="A37" t="s">
        <v>68</v>
      </c>
      <c r="B37">
        <v>3</v>
      </c>
      <c r="C37">
        <v>0.307</v>
      </c>
      <c r="D37">
        <v>180</v>
      </c>
      <c r="E37">
        <v>19.23</v>
      </c>
      <c r="F37">
        <v>-122</v>
      </c>
      <c r="G37">
        <v>-156.6</v>
      </c>
      <c r="H37">
        <v>-94.5</v>
      </c>
      <c r="I37">
        <v>-113.1</v>
      </c>
      <c r="J37">
        <v>-157.30000000000001</v>
      </c>
      <c r="K37">
        <v>-148.4</v>
      </c>
      <c r="L37">
        <v>-156.30000000000001</v>
      </c>
      <c r="M37">
        <v>-157.6</v>
      </c>
      <c r="N37">
        <v>-158.1</v>
      </c>
    </row>
    <row r="38" spans="1:14" x14ac:dyDescent="0.3">
      <c r="A38" t="s">
        <v>68</v>
      </c>
      <c r="B38">
        <v>4</v>
      </c>
      <c r="C38">
        <v>0.32300000000000001</v>
      </c>
      <c r="D38">
        <v>180</v>
      </c>
      <c r="E38">
        <v>19.149999999999999</v>
      </c>
      <c r="F38">
        <v>-122.9</v>
      </c>
      <c r="G38">
        <v>-156.80000000000001</v>
      </c>
      <c r="H38">
        <v>-156.1</v>
      </c>
      <c r="I38">
        <v>-111.6</v>
      </c>
      <c r="J38">
        <v>-156.9</v>
      </c>
      <c r="K38">
        <v>-145.80000000000001</v>
      </c>
      <c r="L38">
        <v>-156</v>
      </c>
      <c r="M38">
        <v>-157.30000000000001</v>
      </c>
      <c r="N38">
        <v>-158.19999999999999</v>
      </c>
    </row>
    <row r="39" spans="1:14" x14ac:dyDescent="0.3">
      <c r="A39" t="s">
        <v>68</v>
      </c>
      <c r="B39">
        <v>5</v>
      </c>
      <c r="C39">
        <v>0.30499999999999999</v>
      </c>
      <c r="D39">
        <v>180</v>
      </c>
      <c r="E39">
        <v>19.23</v>
      </c>
      <c r="F39">
        <v>-122.6</v>
      </c>
      <c r="G39">
        <v>-156.4</v>
      </c>
      <c r="H39">
        <v>-94.7</v>
      </c>
      <c r="I39">
        <v>-111</v>
      </c>
      <c r="J39">
        <v>-157.1</v>
      </c>
      <c r="K39">
        <v>-149.69999999999999</v>
      </c>
      <c r="L39">
        <v>-156.69999999999999</v>
      </c>
      <c r="M39">
        <v>-157.4</v>
      </c>
      <c r="N39">
        <v>-157.9</v>
      </c>
    </row>
    <row r="40" spans="1:14" x14ac:dyDescent="0.3">
      <c r="A40" t="s">
        <v>68</v>
      </c>
      <c r="B40">
        <v>6</v>
      </c>
      <c r="C40">
        <v>0.32</v>
      </c>
      <c r="D40">
        <v>180</v>
      </c>
      <c r="E40">
        <v>19.02</v>
      </c>
      <c r="F40">
        <v>-121.1</v>
      </c>
      <c r="G40">
        <v>-156.6</v>
      </c>
      <c r="H40">
        <v>-156.30000000000001</v>
      </c>
      <c r="I40">
        <v>-110.9</v>
      </c>
      <c r="J40">
        <v>-156.6</v>
      </c>
      <c r="K40">
        <v>-127.7</v>
      </c>
      <c r="L40">
        <v>-154.69999999999999</v>
      </c>
      <c r="M40">
        <v>-157.19999999999999</v>
      </c>
      <c r="N40">
        <v>-158.1</v>
      </c>
    </row>
    <row r="41" spans="1:14" x14ac:dyDescent="0.3">
      <c r="A41" t="s">
        <v>68</v>
      </c>
      <c r="B41">
        <v>7</v>
      </c>
      <c r="C41">
        <v>0.378</v>
      </c>
      <c r="D41">
        <v>180</v>
      </c>
      <c r="E41">
        <v>19.03</v>
      </c>
      <c r="F41">
        <v>-124</v>
      </c>
      <c r="G41">
        <v>-156.6</v>
      </c>
      <c r="H41">
        <v>-93.5</v>
      </c>
      <c r="I41">
        <v>-112.5</v>
      </c>
      <c r="J41">
        <v>-156.5</v>
      </c>
      <c r="K41">
        <v>-126.9</v>
      </c>
      <c r="L41">
        <v>-154.9</v>
      </c>
      <c r="M41">
        <v>-157.5</v>
      </c>
      <c r="N41">
        <v>-158.19999999999999</v>
      </c>
    </row>
    <row r="42" spans="1:14" x14ac:dyDescent="0.3">
      <c r="A42" t="s">
        <v>68</v>
      </c>
      <c r="B42">
        <v>8</v>
      </c>
      <c r="C42">
        <v>0.52800000000000002</v>
      </c>
      <c r="D42">
        <v>180</v>
      </c>
      <c r="E42">
        <v>18.760000000000002</v>
      </c>
      <c r="F42">
        <v>-123.7</v>
      </c>
      <c r="G42">
        <v>-156.4</v>
      </c>
      <c r="H42">
        <v>-94.7</v>
      </c>
      <c r="I42">
        <v>-112.3</v>
      </c>
      <c r="J42">
        <v>-156.30000000000001</v>
      </c>
      <c r="K42">
        <v>-126.2</v>
      </c>
      <c r="L42">
        <v>-154</v>
      </c>
      <c r="M42">
        <v>-157.19999999999999</v>
      </c>
      <c r="N42">
        <v>-158.6</v>
      </c>
    </row>
    <row r="43" spans="1:14" x14ac:dyDescent="0.3">
      <c r="A43" t="s">
        <v>68</v>
      </c>
      <c r="B43">
        <v>9</v>
      </c>
      <c r="C43">
        <v>0.59</v>
      </c>
      <c r="D43">
        <v>180</v>
      </c>
      <c r="E43">
        <v>18.8</v>
      </c>
      <c r="F43">
        <v>-123.5</v>
      </c>
      <c r="G43">
        <v>-156.5</v>
      </c>
      <c r="H43">
        <v>-156.4</v>
      </c>
      <c r="I43">
        <v>-111.8</v>
      </c>
      <c r="J43">
        <v>-156.19999999999999</v>
      </c>
      <c r="K43">
        <v>-126</v>
      </c>
      <c r="L43">
        <v>-154.1</v>
      </c>
      <c r="M43">
        <v>-157.69999999999999</v>
      </c>
      <c r="N43">
        <v>-158.30000000000001</v>
      </c>
    </row>
    <row r="44" spans="1:14" x14ac:dyDescent="0.3">
      <c r="A44" t="s">
        <v>68</v>
      </c>
      <c r="B44">
        <v>10</v>
      </c>
      <c r="C44">
        <v>0.45800000000000002</v>
      </c>
      <c r="D44">
        <v>180</v>
      </c>
      <c r="E44">
        <v>18.809999999999999</v>
      </c>
      <c r="F44">
        <v>-121.8</v>
      </c>
      <c r="G44">
        <v>-156.69999999999999</v>
      </c>
      <c r="H44">
        <v>-95.1</v>
      </c>
      <c r="I44">
        <v>-117.8</v>
      </c>
      <c r="J44">
        <v>-156.5</v>
      </c>
      <c r="K44">
        <v>-125.4</v>
      </c>
      <c r="L44">
        <v>-154.19999999999999</v>
      </c>
      <c r="M44">
        <v>-157.5</v>
      </c>
      <c r="N44">
        <v>-158.30000000000001</v>
      </c>
    </row>
    <row r="45" spans="1:14" x14ac:dyDescent="0.3">
      <c r="A45" t="s">
        <v>69</v>
      </c>
      <c r="B45">
        <v>1</v>
      </c>
      <c r="C45">
        <v>0.23799999999999999</v>
      </c>
      <c r="D45">
        <v>180</v>
      </c>
      <c r="E45">
        <v>19.670000000000002</v>
      </c>
      <c r="F45">
        <v>-157.69999999999999</v>
      </c>
      <c r="G45">
        <v>-156.6</v>
      </c>
      <c r="H45">
        <v>-159.80000000000001</v>
      </c>
      <c r="I45">
        <v>66.599999999999994</v>
      </c>
      <c r="J45">
        <v>-157.9</v>
      </c>
      <c r="K45">
        <v>-158.1</v>
      </c>
      <c r="L45">
        <v>-157.30000000000001</v>
      </c>
      <c r="M45">
        <v>-157.9</v>
      </c>
      <c r="N45">
        <v>-158.30000000000001</v>
      </c>
    </row>
    <row r="46" spans="1:14" x14ac:dyDescent="0.3">
      <c r="A46" t="s">
        <v>69</v>
      </c>
      <c r="B46">
        <v>2</v>
      </c>
      <c r="C46">
        <v>0.19400000000000001</v>
      </c>
      <c r="D46">
        <v>180</v>
      </c>
      <c r="E46">
        <v>19.670000000000002</v>
      </c>
      <c r="F46">
        <v>-158.1</v>
      </c>
      <c r="G46">
        <v>-119.1</v>
      </c>
      <c r="H46">
        <v>-118.9</v>
      </c>
      <c r="I46">
        <v>69.5</v>
      </c>
      <c r="J46">
        <v>-155.69999999999999</v>
      </c>
      <c r="K46">
        <v>-158</v>
      </c>
      <c r="L46">
        <v>-157</v>
      </c>
      <c r="M46">
        <v>-157.4</v>
      </c>
      <c r="N46">
        <v>-158.1</v>
      </c>
    </row>
    <row r="47" spans="1:14" x14ac:dyDescent="0.3">
      <c r="A47" t="s">
        <v>69</v>
      </c>
      <c r="B47">
        <v>3</v>
      </c>
      <c r="C47">
        <v>0.25900000000000001</v>
      </c>
      <c r="D47">
        <v>180</v>
      </c>
      <c r="E47">
        <v>19.66</v>
      </c>
      <c r="F47">
        <v>-157.19999999999999</v>
      </c>
      <c r="G47">
        <v>-156.19999999999999</v>
      </c>
      <c r="H47">
        <v>-157.69999999999999</v>
      </c>
      <c r="I47">
        <v>67.599999999999994</v>
      </c>
      <c r="J47">
        <v>-157.69999999999999</v>
      </c>
      <c r="K47">
        <v>-158.1</v>
      </c>
      <c r="L47">
        <v>-157.4</v>
      </c>
      <c r="M47">
        <v>-157.80000000000001</v>
      </c>
      <c r="N47">
        <v>-158.30000000000001</v>
      </c>
    </row>
    <row r="48" spans="1:14" x14ac:dyDescent="0.3">
      <c r="A48" t="s">
        <v>69</v>
      </c>
      <c r="B48">
        <v>4</v>
      </c>
      <c r="C48">
        <v>0.246</v>
      </c>
      <c r="D48">
        <v>180</v>
      </c>
      <c r="E48">
        <v>19.72</v>
      </c>
      <c r="F48">
        <v>-157.30000000000001</v>
      </c>
      <c r="G48">
        <v>-128.80000000000001</v>
      </c>
      <c r="H48">
        <v>-119.1</v>
      </c>
      <c r="I48">
        <v>70.099999999999994</v>
      </c>
      <c r="J48">
        <v>-157.69999999999999</v>
      </c>
      <c r="K48">
        <v>-157.6</v>
      </c>
      <c r="L48">
        <v>-157.19999999999999</v>
      </c>
      <c r="M48">
        <v>-157.6</v>
      </c>
      <c r="N48">
        <v>-158</v>
      </c>
    </row>
    <row r="49" spans="1:14" x14ac:dyDescent="0.3">
      <c r="A49" t="s">
        <v>69</v>
      </c>
      <c r="B49">
        <v>5</v>
      </c>
      <c r="C49">
        <v>0.19500000000000001</v>
      </c>
      <c r="D49">
        <v>180</v>
      </c>
      <c r="E49">
        <v>19.68</v>
      </c>
      <c r="F49">
        <v>-157.4</v>
      </c>
      <c r="G49">
        <v>-154.80000000000001</v>
      </c>
      <c r="H49">
        <v>-158</v>
      </c>
      <c r="I49">
        <v>60.7</v>
      </c>
      <c r="J49">
        <v>-157.1</v>
      </c>
      <c r="K49">
        <v>-158.19999999999999</v>
      </c>
      <c r="L49">
        <v>-157</v>
      </c>
      <c r="M49">
        <v>-157.5</v>
      </c>
      <c r="N49">
        <v>-158</v>
      </c>
    </row>
    <row r="50" spans="1:14" x14ac:dyDescent="0.3">
      <c r="A50" t="s">
        <v>69</v>
      </c>
      <c r="B50">
        <v>6</v>
      </c>
      <c r="C50">
        <v>0.311</v>
      </c>
      <c r="D50">
        <v>180</v>
      </c>
      <c r="E50">
        <v>19.68</v>
      </c>
      <c r="F50">
        <v>-156.4</v>
      </c>
      <c r="G50">
        <v>-155</v>
      </c>
      <c r="H50">
        <v>-157.5</v>
      </c>
      <c r="I50">
        <v>54.7</v>
      </c>
      <c r="J50">
        <v>-157</v>
      </c>
      <c r="K50">
        <v>-158</v>
      </c>
      <c r="L50">
        <v>-157.19999999999999</v>
      </c>
      <c r="M50">
        <v>-157.6</v>
      </c>
      <c r="N50">
        <v>-158.1</v>
      </c>
    </row>
    <row r="51" spans="1:14" x14ac:dyDescent="0.3">
      <c r="A51" t="s">
        <v>69</v>
      </c>
      <c r="B51">
        <v>7</v>
      </c>
      <c r="C51">
        <v>0.32300000000000001</v>
      </c>
      <c r="D51">
        <v>180</v>
      </c>
      <c r="E51">
        <v>19.77</v>
      </c>
      <c r="F51">
        <v>-156.4</v>
      </c>
      <c r="G51">
        <v>-156</v>
      </c>
      <c r="H51">
        <v>-123.2</v>
      </c>
      <c r="I51">
        <v>60</v>
      </c>
      <c r="J51">
        <v>-157</v>
      </c>
      <c r="K51">
        <v>-158.1</v>
      </c>
      <c r="L51">
        <v>-157.19999999999999</v>
      </c>
      <c r="M51">
        <v>-157.5</v>
      </c>
      <c r="N51">
        <v>-158</v>
      </c>
    </row>
    <row r="52" spans="1:14" x14ac:dyDescent="0.3">
      <c r="A52" t="s">
        <v>69</v>
      </c>
      <c r="B52">
        <v>8</v>
      </c>
      <c r="C52">
        <v>0.30299999999999999</v>
      </c>
      <c r="D52">
        <v>180</v>
      </c>
      <c r="E52">
        <v>19.61</v>
      </c>
      <c r="F52">
        <v>-157.30000000000001</v>
      </c>
      <c r="G52">
        <v>-146.30000000000001</v>
      </c>
      <c r="H52">
        <v>-157.1</v>
      </c>
      <c r="I52">
        <v>-30.6</v>
      </c>
      <c r="J52">
        <v>-157.1</v>
      </c>
      <c r="K52">
        <v>-159</v>
      </c>
      <c r="L52">
        <v>-157.30000000000001</v>
      </c>
      <c r="M52">
        <v>-157.9</v>
      </c>
      <c r="N52">
        <v>-158.5</v>
      </c>
    </row>
    <row r="53" spans="1:14" x14ac:dyDescent="0.3">
      <c r="A53" t="s">
        <v>69</v>
      </c>
      <c r="B53">
        <v>9</v>
      </c>
      <c r="C53">
        <v>0.308</v>
      </c>
      <c r="D53">
        <v>180</v>
      </c>
      <c r="E53">
        <v>19.73</v>
      </c>
      <c r="F53">
        <v>-157.19999999999999</v>
      </c>
      <c r="G53">
        <v>-158.19999999999999</v>
      </c>
      <c r="H53">
        <v>-157.30000000000001</v>
      </c>
      <c r="I53">
        <v>58.8</v>
      </c>
      <c r="J53">
        <v>-156.69999999999999</v>
      </c>
      <c r="K53">
        <v>-157.9</v>
      </c>
      <c r="L53">
        <v>-156.69999999999999</v>
      </c>
      <c r="M53">
        <v>-157.4</v>
      </c>
      <c r="N53">
        <v>-157.80000000000001</v>
      </c>
    </row>
    <row r="54" spans="1:14" x14ac:dyDescent="0.3">
      <c r="A54" t="s">
        <v>69</v>
      </c>
      <c r="B54">
        <v>10</v>
      </c>
      <c r="C54">
        <v>0.314</v>
      </c>
      <c r="D54">
        <v>180</v>
      </c>
      <c r="E54">
        <v>19.68</v>
      </c>
      <c r="F54">
        <v>-157.1</v>
      </c>
      <c r="G54">
        <v>-163.9</v>
      </c>
      <c r="H54">
        <v>-157</v>
      </c>
      <c r="I54">
        <v>62.6</v>
      </c>
      <c r="J54">
        <v>-157.30000000000001</v>
      </c>
      <c r="K54">
        <v>-157.80000000000001</v>
      </c>
      <c r="L54">
        <v>-156.80000000000001</v>
      </c>
      <c r="M54">
        <v>-157.4</v>
      </c>
      <c r="N54">
        <v>-158</v>
      </c>
    </row>
    <row r="55" spans="1:14" x14ac:dyDescent="0.3">
      <c r="A55" t="s">
        <v>86</v>
      </c>
      <c r="B55">
        <v>1</v>
      </c>
      <c r="C55" t="s">
        <v>85</v>
      </c>
      <c r="D55">
        <v>180</v>
      </c>
      <c r="E55">
        <v>19.82</v>
      </c>
      <c r="F55">
        <v>-163.5</v>
      </c>
      <c r="G55">
        <v>-164.1</v>
      </c>
      <c r="H55">
        <v>-135.1</v>
      </c>
      <c r="I55">
        <v>-156.19999999999999</v>
      </c>
      <c r="J55">
        <v>-172.8</v>
      </c>
      <c r="K55">
        <v>-164.9</v>
      </c>
      <c r="L55">
        <v>-160.1</v>
      </c>
      <c r="M55">
        <v>-156</v>
      </c>
      <c r="N55">
        <v>-151</v>
      </c>
    </row>
    <row r="56" spans="1:14" x14ac:dyDescent="0.3">
      <c r="A56" t="s">
        <v>86</v>
      </c>
      <c r="B56">
        <v>2</v>
      </c>
      <c r="C56" t="s">
        <v>85</v>
      </c>
      <c r="D56">
        <v>180</v>
      </c>
      <c r="E56">
        <v>19.239999999999998</v>
      </c>
      <c r="F56">
        <v>-170.1</v>
      </c>
      <c r="G56">
        <v>-175.4</v>
      </c>
      <c r="H56">
        <v>-153.19999999999999</v>
      </c>
      <c r="I56">
        <v>-174.6</v>
      </c>
      <c r="J56">
        <v>-176.5</v>
      </c>
      <c r="K56">
        <v>-169.4</v>
      </c>
      <c r="L56">
        <v>-169.7</v>
      </c>
      <c r="M56">
        <v>-150.19999999999999</v>
      </c>
      <c r="N56">
        <v>-156.9</v>
      </c>
    </row>
    <row r="57" spans="1:14" x14ac:dyDescent="0.3">
      <c r="A57" t="s">
        <v>86</v>
      </c>
      <c r="B57">
        <v>3</v>
      </c>
      <c r="C57" t="s">
        <v>85</v>
      </c>
      <c r="D57">
        <v>180</v>
      </c>
      <c r="E57">
        <v>18.899999999999999</v>
      </c>
      <c r="F57">
        <v>174.5</v>
      </c>
      <c r="G57">
        <v>-179.8</v>
      </c>
      <c r="H57">
        <v>-158.9</v>
      </c>
      <c r="I57">
        <v>-43.8</v>
      </c>
      <c r="J57">
        <v>-159.69999999999999</v>
      </c>
      <c r="K57">
        <v>-174.2</v>
      </c>
      <c r="L57">
        <v>-175.4</v>
      </c>
      <c r="M57">
        <v>-156</v>
      </c>
      <c r="N57">
        <v>-151.69999999999999</v>
      </c>
    </row>
    <row r="58" spans="1:14" x14ac:dyDescent="0.3">
      <c r="A58" t="s">
        <v>86</v>
      </c>
      <c r="B58">
        <v>4</v>
      </c>
      <c r="C58" t="s">
        <v>85</v>
      </c>
      <c r="D58">
        <v>180</v>
      </c>
      <c r="E58">
        <v>20.12</v>
      </c>
      <c r="F58">
        <v>173.7</v>
      </c>
      <c r="G58">
        <v>-174.1</v>
      </c>
      <c r="H58">
        <v>-127.1</v>
      </c>
      <c r="I58">
        <v>176.8</v>
      </c>
      <c r="J58">
        <v>-161</v>
      </c>
      <c r="K58">
        <v>-171.6</v>
      </c>
      <c r="L58">
        <v>-161.19999999999999</v>
      </c>
      <c r="M58">
        <v>-159.9</v>
      </c>
      <c r="N58">
        <v>-165.8</v>
      </c>
    </row>
    <row r="59" spans="1:14" x14ac:dyDescent="0.3">
      <c r="A59" t="s">
        <v>86</v>
      </c>
      <c r="B59">
        <v>5</v>
      </c>
      <c r="C59" t="s">
        <v>85</v>
      </c>
      <c r="D59">
        <v>180</v>
      </c>
      <c r="E59">
        <v>18.440000000000001</v>
      </c>
      <c r="F59">
        <v>-179</v>
      </c>
      <c r="G59">
        <v>-50.1</v>
      </c>
      <c r="H59">
        <v>-166.2</v>
      </c>
      <c r="I59">
        <v>-148.5</v>
      </c>
      <c r="J59">
        <v>-163.9</v>
      </c>
      <c r="K59">
        <v>-168.4</v>
      </c>
      <c r="L59">
        <v>-178.2</v>
      </c>
      <c r="M59">
        <v>-160</v>
      </c>
      <c r="N59">
        <v>-172.8</v>
      </c>
    </row>
    <row r="60" spans="1:14" x14ac:dyDescent="0.3">
      <c r="A60" t="s">
        <v>86</v>
      </c>
      <c r="B60">
        <v>6</v>
      </c>
      <c r="C60" t="s">
        <v>85</v>
      </c>
      <c r="D60">
        <v>180</v>
      </c>
      <c r="E60">
        <v>18.93</v>
      </c>
      <c r="F60">
        <v>154.5</v>
      </c>
      <c r="G60">
        <v>-179.2</v>
      </c>
      <c r="H60">
        <v>-140.6</v>
      </c>
      <c r="I60">
        <v>-175.3</v>
      </c>
      <c r="J60">
        <v>-179</v>
      </c>
      <c r="K60">
        <v>-134.80000000000001</v>
      </c>
      <c r="L60">
        <v>-138.19999999999999</v>
      </c>
      <c r="M60">
        <v>-156.80000000000001</v>
      </c>
      <c r="N60">
        <v>-167.7</v>
      </c>
    </row>
    <row r="61" spans="1:14" x14ac:dyDescent="0.3">
      <c r="A61" t="s">
        <v>86</v>
      </c>
      <c r="B61">
        <v>7</v>
      </c>
      <c r="C61" t="s">
        <v>85</v>
      </c>
      <c r="D61">
        <v>180</v>
      </c>
      <c r="E61">
        <v>18.95</v>
      </c>
      <c r="F61">
        <v>166.1</v>
      </c>
      <c r="G61">
        <v>-166.6</v>
      </c>
      <c r="H61">
        <v>-145.80000000000001</v>
      </c>
      <c r="I61">
        <v>-148.6</v>
      </c>
      <c r="J61">
        <v>-144.1</v>
      </c>
      <c r="K61">
        <v>-171.2</v>
      </c>
      <c r="L61">
        <v>-145.5</v>
      </c>
      <c r="M61">
        <v>-176.2</v>
      </c>
      <c r="N61">
        <v>-153.80000000000001</v>
      </c>
    </row>
    <row r="62" spans="1:14" x14ac:dyDescent="0.3">
      <c r="A62" t="s">
        <v>86</v>
      </c>
      <c r="B62">
        <v>8</v>
      </c>
      <c r="C62" t="s">
        <v>85</v>
      </c>
      <c r="D62">
        <v>180</v>
      </c>
      <c r="E62">
        <v>20.21</v>
      </c>
      <c r="F62">
        <v>178</v>
      </c>
      <c r="G62">
        <v>-161.4</v>
      </c>
      <c r="H62">
        <v>-143.69999999999999</v>
      </c>
      <c r="I62">
        <v>12.9</v>
      </c>
      <c r="J62">
        <v>-167.7</v>
      </c>
      <c r="K62">
        <v>-165.4</v>
      </c>
      <c r="L62">
        <v>-163.1</v>
      </c>
      <c r="M62">
        <v>-158.5</v>
      </c>
      <c r="N62">
        <v>-148.5</v>
      </c>
    </row>
    <row r="63" spans="1:14" x14ac:dyDescent="0.3">
      <c r="A63" t="s">
        <v>86</v>
      </c>
      <c r="B63">
        <v>9</v>
      </c>
      <c r="C63" t="s">
        <v>85</v>
      </c>
      <c r="D63">
        <v>180</v>
      </c>
      <c r="E63">
        <v>20.12</v>
      </c>
      <c r="F63">
        <v>-179.2</v>
      </c>
      <c r="G63">
        <v>-172.3</v>
      </c>
      <c r="H63">
        <v>-121.5</v>
      </c>
      <c r="I63">
        <v>-37.9</v>
      </c>
      <c r="J63">
        <v>-176.3</v>
      </c>
      <c r="K63">
        <v>-152.5</v>
      </c>
      <c r="L63">
        <v>-150.69999999999999</v>
      </c>
      <c r="M63">
        <v>-173.4</v>
      </c>
      <c r="N63">
        <v>-164.5</v>
      </c>
    </row>
    <row r="64" spans="1:14" x14ac:dyDescent="0.3">
      <c r="A64" t="s">
        <v>86</v>
      </c>
      <c r="B64">
        <v>10</v>
      </c>
      <c r="C64" t="s">
        <v>85</v>
      </c>
      <c r="D64">
        <v>180</v>
      </c>
      <c r="E64">
        <v>19.7</v>
      </c>
      <c r="F64">
        <v>170</v>
      </c>
      <c r="G64">
        <v>-159</v>
      </c>
      <c r="H64">
        <v>-131.19999999999999</v>
      </c>
      <c r="I64">
        <v>-146.30000000000001</v>
      </c>
      <c r="J64">
        <v>-177.5</v>
      </c>
      <c r="K64">
        <v>-162.1</v>
      </c>
      <c r="L64">
        <v>-163.9</v>
      </c>
      <c r="M64">
        <v>-178.1</v>
      </c>
      <c r="N64">
        <v>-159.6</v>
      </c>
    </row>
    <row r="65" spans="1:14" x14ac:dyDescent="0.3">
      <c r="A65" t="s">
        <v>86</v>
      </c>
      <c r="B65">
        <v>11</v>
      </c>
      <c r="C65" t="s">
        <v>85</v>
      </c>
      <c r="D65">
        <v>180</v>
      </c>
      <c r="E65">
        <v>19.38</v>
      </c>
      <c r="F65">
        <v>-51.1</v>
      </c>
      <c r="G65">
        <v>173.8</v>
      </c>
      <c r="H65">
        <v>-161.19999999999999</v>
      </c>
      <c r="I65">
        <v>-142.4</v>
      </c>
      <c r="J65">
        <v>-151.80000000000001</v>
      </c>
      <c r="K65">
        <v>-167.3</v>
      </c>
      <c r="L65">
        <v>-161.80000000000001</v>
      </c>
      <c r="M65">
        <v>-171.5</v>
      </c>
      <c r="N65">
        <v>-144.30000000000001</v>
      </c>
    </row>
    <row r="66" spans="1:14" x14ac:dyDescent="0.3">
      <c r="A66" t="s">
        <v>86</v>
      </c>
      <c r="B66">
        <v>12</v>
      </c>
      <c r="C66" t="s">
        <v>85</v>
      </c>
      <c r="D66">
        <v>180</v>
      </c>
      <c r="E66">
        <v>16.23</v>
      </c>
      <c r="F66">
        <v>-156.5</v>
      </c>
      <c r="G66">
        <v>-164.1</v>
      </c>
      <c r="H66">
        <v>-124.7</v>
      </c>
      <c r="I66">
        <v>-150.80000000000001</v>
      </c>
      <c r="J66">
        <v>-160.19999999999999</v>
      </c>
      <c r="K66">
        <v>-134.80000000000001</v>
      </c>
      <c r="L66">
        <v>-168.4</v>
      </c>
      <c r="M66">
        <v>-157.4</v>
      </c>
      <c r="N66">
        <v>-154.4</v>
      </c>
    </row>
    <row r="67" spans="1:14" x14ac:dyDescent="0.3">
      <c r="A67" t="s">
        <v>86</v>
      </c>
      <c r="B67">
        <v>13</v>
      </c>
      <c r="C67" t="s">
        <v>85</v>
      </c>
      <c r="D67">
        <v>180</v>
      </c>
      <c r="E67">
        <v>19.89</v>
      </c>
      <c r="F67">
        <v>-84</v>
      </c>
      <c r="G67">
        <v>165.6</v>
      </c>
      <c r="H67">
        <v>-126.3</v>
      </c>
      <c r="I67">
        <v>41</v>
      </c>
      <c r="J67">
        <v>-167.3</v>
      </c>
      <c r="K67">
        <v>-172.6</v>
      </c>
      <c r="L67">
        <v>-145.5</v>
      </c>
      <c r="M67">
        <v>-166.8</v>
      </c>
      <c r="N67">
        <v>-155.6</v>
      </c>
    </row>
    <row r="68" spans="1:14" x14ac:dyDescent="0.3">
      <c r="A68" t="s">
        <v>86</v>
      </c>
      <c r="B68">
        <v>14</v>
      </c>
      <c r="C68" t="s">
        <v>85</v>
      </c>
      <c r="D68">
        <v>180</v>
      </c>
      <c r="E68">
        <v>20.16</v>
      </c>
      <c r="F68">
        <v>171.2</v>
      </c>
      <c r="G68">
        <v>-170.1</v>
      </c>
      <c r="H68">
        <v>-140.1</v>
      </c>
      <c r="I68">
        <v>-154.80000000000001</v>
      </c>
      <c r="J68">
        <v>-165.2</v>
      </c>
      <c r="K68">
        <v>-157</v>
      </c>
      <c r="L68">
        <v>-160.1</v>
      </c>
      <c r="M68">
        <v>-172.5</v>
      </c>
      <c r="N68">
        <v>-154.80000000000001</v>
      </c>
    </row>
    <row r="69" spans="1:14" x14ac:dyDescent="0.3">
      <c r="A69" t="s">
        <v>86</v>
      </c>
      <c r="B69">
        <v>15</v>
      </c>
      <c r="C69" t="s">
        <v>85</v>
      </c>
      <c r="D69">
        <v>180</v>
      </c>
      <c r="E69">
        <v>19.579999999999998</v>
      </c>
      <c r="F69">
        <v>177.8</v>
      </c>
      <c r="G69">
        <v>-158.69999999999999</v>
      </c>
      <c r="H69">
        <v>-155.69999999999999</v>
      </c>
      <c r="I69">
        <v>36.6</v>
      </c>
      <c r="J69">
        <v>-164.1</v>
      </c>
      <c r="K69">
        <v>-144.69999999999999</v>
      </c>
      <c r="L69">
        <v>-163.1</v>
      </c>
      <c r="M69">
        <v>-165.1</v>
      </c>
      <c r="N69">
        <v>-162.69999999999999</v>
      </c>
    </row>
    <row r="70" spans="1:14" x14ac:dyDescent="0.3">
      <c r="A70" t="s">
        <v>86</v>
      </c>
      <c r="B70">
        <v>16</v>
      </c>
      <c r="C70" t="s">
        <v>85</v>
      </c>
      <c r="D70">
        <v>180</v>
      </c>
      <c r="E70">
        <v>20.65</v>
      </c>
      <c r="F70">
        <v>-162.1</v>
      </c>
      <c r="G70">
        <v>-106.8</v>
      </c>
      <c r="H70">
        <v>-143.9</v>
      </c>
      <c r="I70">
        <v>-134.5</v>
      </c>
      <c r="J70">
        <v>-151.69999999999999</v>
      </c>
      <c r="K70">
        <v>-168.8</v>
      </c>
      <c r="L70">
        <v>-156.4</v>
      </c>
      <c r="M70">
        <v>-158.6</v>
      </c>
      <c r="N70">
        <v>-165.6</v>
      </c>
    </row>
    <row r="71" spans="1:14" x14ac:dyDescent="0.3">
      <c r="A71" t="s">
        <v>86</v>
      </c>
      <c r="B71">
        <v>17</v>
      </c>
      <c r="C71" t="s">
        <v>85</v>
      </c>
      <c r="D71">
        <v>180</v>
      </c>
      <c r="E71">
        <v>19.3</v>
      </c>
      <c r="F71">
        <v>-175.6</v>
      </c>
      <c r="G71">
        <v>-165.2</v>
      </c>
      <c r="H71">
        <v>-149.30000000000001</v>
      </c>
      <c r="I71">
        <v>-151.80000000000001</v>
      </c>
      <c r="J71">
        <v>-162.5</v>
      </c>
      <c r="K71">
        <v>-157.5</v>
      </c>
      <c r="L71">
        <v>-168.4</v>
      </c>
      <c r="M71">
        <v>-171.4</v>
      </c>
      <c r="N71">
        <v>-153.80000000000001</v>
      </c>
    </row>
    <row r="72" spans="1:14" x14ac:dyDescent="0.3">
      <c r="A72" t="s">
        <v>86</v>
      </c>
      <c r="B72">
        <v>18</v>
      </c>
      <c r="C72" t="s">
        <v>85</v>
      </c>
      <c r="D72">
        <v>180</v>
      </c>
      <c r="E72">
        <v>19.059999999999999</v>
      </c>
      <c r="F72">
        <v>-54.6</v>
      </c>
      <c r="G72">
        <v>173.5</v>
      </c>
      <c r="H72">
        <v>-153.69999999999999</v>
      </c>
      <c r="I72">
        <v>36.299999999999997</v>
      </c>
      <c r="J72">
        <v>-153.80000000000001</v>
      </c>
      <c r="K72">
        <v>-170.5</v>
      </c>
      <c r="L72">
        <v>-142.19999999999999</v>
      </c>
      <c r="M72">
        <v>-158.6</v>
      </c>
      <c r="N72">
        <v>-162.9</v>
      </c>
    </row>
    <row r="73" spans="1:14" x14ac:dyDescent="0.3">
      <c r="A73" t="s">
        <v>86</v>
      </c>
      <c r="B73">
        <v>19</v>
      </c>
      <c r="C73" t="s">
        <v>85</v>
      </c>
      <c r="D73">
        <v>180</v>
      </c>
      <c r="E73">
        <v>19.77</v>
      </c>
      <c r="F73">
        <v>165.7</v>
      </c>
      <c r="G73">
        <v>169.4</v>
      </c>
      <c r="H73">
        <v>-141.19999999999999</v>
      </c>
      <c r="I73">
        <v>45.7</v>
      </c>
      <c r="J73">
        <v>-175.7</v>
      </c>
      <c r="K73">
        <v>-172.9</v>
      </c>
      <c r="L73">
        <v>-169.7</v>
      </c>
      <c r="M73">
        <v>-155.80000000000001</v>
      </c>
      <c r="N73">
        <v>-154.5</v>
      </c>
    </row>
    <row r="74" spans="1:14" x14ac:dyDescent="0.3">
      <c r="A74" t="s">
        <v>86</v>
      </c>
      <c r="B74">
        <v>20</v>
      </c>
      <c r="C74" t="s">
        <v>85</v>
      </c>
      <c r="D74">
        <v>180</v>
      </c>
      <c r="E74">
        <v>19.16</v>
      </c>
      <c r="F74">
        <v>-170.9</v>
      </c>
      <c r="G74">
        <v>-135.5</v>
      </c>
      <c r="H74">
        <v>-143.5</v>
      </c>
      <c r="I74">
        <v>-42.2</v>
      </c>
      <c r="J74">
        <v>-173.7</v>
      </c>
      <c r="K74">
        <v>-145.80000000000001</v>
      </c>
      <c r="L74">
        <v>-154.9</v>
      </c>
      <c r="M74">
        <v>-173.6</v>
      </c>
      <c r="N74">
        <v>-151.5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5E4E-4C13-4933-9720-40B1E41B89D5}">
  <dimension ref="A1:J74"/>
  <sheetViews>
    <sheetView tabSelected="1" topLeftCell="A31" workbookViewId="0">
      <selection activeCell="E60" sqref="E60"/>
    </sheetView>
  </sheetViews>
  <sheetFormatPr defaultRowHeight="14.4" x14ac:dyDescent="0.3"/>
  <cols>
    <col min="4" max="4" width="12.44140625" bestFit="1" customWidth="1"/>
    <col min="5" max="5" width="17.77734375" bestFit="1" customWidth="1"/>
    <col min="6" max="6" width="19" bestFit="1" customWidth="1"/>
  </cols>
  <sheetData>
    <row r="1" spans="1:3" x14ac:dyDescent="0.3">
      <c r="A1" t="s">
        <v>71</v>
      </c>
      <c r="B1" t="s">
        <v>72</v>
      </c>
      <c r="C1" t="s">
        <v>76</v>
      </c>
    </row>
    <row r="2" spans="1:3" x14ac:dyDescent="0.3">
      <c r="A2" t="s">
        <v>64</v>
      </c>
      <c r="B2">
        <v>1</v>
      </c>
      <c r="C2">
        <v>-159.4</v>
      </c>
    </row>
    <row r="3" spans="1:3" x14ac:dyDescent="0.3">
      <c r="A3" t="s">
        <v>64</v>
      </c>
      <c r="B3">
        <v>2</v>
      </c>
      <c r="C3">
        <v>-156.69999999999999</v>
      </c>
    </row>
    <row r="4" spans="1:3" x14ac:dyDescent="0.3">
      <c r="A4" t="s">
        <v>64</v>
      </c>
      <c r="B4">
        <v>3</v>
      </c>
      <c r="C4">
        <v>-157.5</v>
      </c>
    </row>
    <row r="5" spans="1:3" x14ac:dyDescent="0.3">
      <c r="A5" t="s">
        <v>64</v>
      </c>
      <c r="B5">
        <v>4</v>
      </c>
      <c r="C5">
        <v>-155.5</v>
      </c>
    </row>
    <row r="6" spans="1:3" x14ac:dyDescent="0.3">
      <c r="A6" t="s">
        <v>64</v>
      </c>
      <c r="B6">
        <v>5</v>
      </c>
      <c r="C6">
        <v>-154.19999999999999</v>
      </c>
    </row>
    <row r="7" spans="1:3" x14ac:dyDescent="0.3">
      <c r="A7" t="s">
        <v>64</v>
      </c>
      <c r="B7">
        <v>6</v>
      </c>
      <c r="C7">
        <v>-158.6</v>
      </c>
    </row>
    <row r="8" spans="1:3" x14ac:dyDescent="0.3">
      <c r="A8" t="s">
        <v>64</v>
      </c>
      <c r="B8">
        <v>7</v>
      </c>
      <c r="C8">
        <v>-157.5</v>
      </c>
    </row>
    <row r="9" spans="1:3" x14ac:dyDescent="0.3">
      <c r="A9" t="s">
        <v>64</v>
      </c>
      <c r="B9">
        <v>8</v>
      </c>
      <c r="C9">
        <v>-156.9</v>
      </c>
    </row>
    <row r="10" spans="1:3" x14ac:dyDescent="0.3">
      <c r="A10" t="s">
        <v>64</v>
      </c>
      <c r="B10">
        <v>9</v>
      </c>
      <c r="C10">
        <v>-154.6</v>
      </c>
    </row>
    <row r="11" spans="1:3" x14ac:dyDescent="0.3">
      <c r="A11" t="s">
        <v>64</v>
      </c>
      <c r="B11">
        <v>10</v>
      </c>
      <c r="C11">
        <v>-155.9</v>
      </c>
    </row>
    <row r="12" spans="1:3" x14ac:dyDescent="0.3">
      <c r="A12" t="s">
        <v>65</v>
      </c>
      <c r="B12">
        <v>1</v>
      </c>
      <c r="C12">
        <v>-155.1</v>
      </c>
    </row>
    <row r="13" spans="1:3" x14ac:dyDescent="0.3">
      <c r="A13" t="s">
        <v>65</v>
      </c>
      <c r="B13">
        <v>2</v>
      </c>
      <c r="C13">
        <v>-154.5</v>
      </c>
    </row>
    <row r="14" spans="1:3" x14ac:dyDescent="0.3">
      <c r="A14" t="s">
        <v>65</v>
      </c>
      <c r="B14">
        <v>3</v>
      </c>
      <c r="C14">
        <v>-154.6</v>
      </c>
    </row>
    <row r="15" spans="1:3" x14ac:dyDescent="0.3">
      <c r="A15" t="s">
        <v>65</v>
      </c>
      <c r="B15">
        <v>4</v>
      </c>
      <c r="C15">
        <v>-155</v>
      </c>
    </row>
    <row r="16" spans="1:3" x14ac:dyDescent="0.3">
      <c r="A16" t="s">
        <v>65</v>
      </c>
      <c r="B16">
        <v>5</v>
      </c>
      <c r="C16">
        <v>-154.9</v>
      </c>
    </row>
    <row r="17" spans="1:3" x14ac:dyDescent="0.3">
      <c r="A17" t="s">
        <v>65</v>
      </c>
      <c r="B17">
        <v>6</v>
      </c>
      <c r="C17">
        <v>-155.30000000000001</v>
      </c>
    </row>
    <row r="18" spans="1:3" x14ac:dyDescent="0.3">
      <c r="A18" t="s">
        <v>65</v>
      </c>
      <c r="B18">
        <v>7</v>
      </c>
      <c r="C18">
        <v>-154.30000000000001</v>
      </c>
    </row>
    <row r="19" spans="1:3" x14ac:dyDescent="0.3">
      <c r="A19" t="s">
        <v>65</v>
      </c>
      <c r="B19">
        <v>8</v>
      </c>
      <c r="C19">
        <v>-154.1</v>
      </c>
    </row>
    <row r="20" spans="1:3" x14ac:dyDescent="0.3">
      <c r="A20" t="s">
        <v>65</v>
      </c>
      <c r="B20">
        <v>9</v>
      </c>
      <c r="C20">
        <v>-154.30000000000001</v>
      </c>
    </row>
    <row r="21" spans="1:3" x14ac:dyDescent="0.3">
      <c r="A21" t="s">
        <v>65</v>
      </c>
      <c r="B21">
        <v>10</v>
      </c>
      <c r="C21">
        <v>-155.30000000000001</v>
      </c>
    </row>
    <row r="22" spans="1:3" x14ac:dyDescent="0.3">
      <c r="A22" t="s">
        <v>66</v>
      </c>
      <c r="B22">
        <v>1</v>
      </c>
      <c r="C22">
        <v>-162</v>
      </c>
    </row>
    <row r="23" spans="1:3" x14ac:dyDescent="0.3">
      <c r="A23" t="s">
        <v>67</v>
      </c>
      <c r="B23">
        <v>1</v>
      </c>
      <c r="C23">
        <v>-148.4</v>
      </c>
    </row>
    <row r="24" spans="1:3" x14ac:dyDescent="0.3">
      <c r="A24" t="s">
        <v>67</v>
      </c>
      <c r="B24">
        <v>2</v>
      </c>
      <c r="C24">
        <v>-154.5</v>
      </c>
    </row>
    <row r="25" spans="1:3" x14ac:dyDescent="0.3">
      <c r="A25" t="s">
        <v>67</v>
      </c>
      <c r="B25">
        <v>3</v>
      </c>
      <c r="C25">
        <v>-148.80000000000001</v>
      </c>
    </row>
    <row r="26" spans="1:3" x14ac:dyDescent="0.3">
      <c r="A26" t="s">
        <v>67</v>
      </c>
      <c r="B26">
        <v>4</v>
      </c>
      <c r="C26">
        <v>-156.19999999999999</v>
      </c>
    </row>
    <row r="27" spans="1:3" x14ac:dyDescent="0.3">
      <c r="A27" t="s">
        <v>67</v>
      </c>
      <c r="B27">
        <v>5</v>
      </c>
      <c r="C27">
        <v>-162.5</v>
      </c>
    </row>
    <row r="28" spans="1:3" x14ac:dyDescent="0.3">
      <c r="A28" t="s">
        <v>67</v>
      </c>
      <c r="B28">
        <v>6</v>
      </c>
      <c r="C28">
        <v>-153.30000000000001</v>
      </c>
    </row>
    <row r="29" spans="1:3" x14ac:dyDescent="0.3">
      <c r="A29" t="s">
        <v>67</v>
      </c>
      <c r="B29">
        <v>7</v>
      </c>
      <c r="C29">
        <v>-149</v>
      </c>
    </row>
    <row r="30" spans="1:3" x14ac:dyDescent="0.3">
      <c r="A30" t="s">
        <v>67</v>
      </c>
      <c r="B30">
        <v>8</v>
      </c>
      <c r="C30">
        <v>-153.9</v>
      </c>
    </row>
    <row r="31" spans="1:3" x14ac:dyDescent="0.3">
      <c r="A31" t="s">
        <v>67</v>
      </c>
      <c r="B31">
        <v>9</v>
      </c>
      <c r="C31">
        <v>-162.80000000000001</v>
      </c>
    </row>
    <row r="32" spans="1:3" x14ac:dyDescent="0.3">
      <c r="A32" t="s">
        <v>67</v>
      </c>
      <c r="B32">
        <v>10</v>
      </c>
      <c r="C32">
        <v>-153.69999999999999</v>
      </c>
    </row>
    <row r="33" spans="1:3" x14ac:dyDescent="0.3">
      <c r="A33" t="s">
        <v>67</v>
      </c>
      <c r="B33">
        <v>11</v>
      </c>
      <c r="C33">
        <v>-146.1</v>
      </c>
    </row>
    <row r="34" spans="1:3" x14ac:dyDescent="0.3">
      <c r="A34" t="s">
        <v>67</v>
      </c>
      <c r="B34">
        <v>12</v>
      </c>
      <c r="C34">
        <v>-157.4</v>
      </c>
    </row>
    <row r="35" spans="1:3" x14ac:dyDescent="0.3">
      <c r="A35" t="s">
        <v>68</v>
      </c>
      <c r="B35">
        <v>1</v>
      </c>
      <c r="C35">
        <v>-123.1</v>
      </c>
    </row>
    <row r="36" spans="1:3" x14ac:dyDescent="0.3">
      <c r="A36" t="s">
        <v>68</v>
      </c>
      <c r="B36">
        <v>2</v>
      </c>
      <c r="C36">
        <v>-122.3</v>
      </c>
    </row>
    <row r="37" spans="1:3" x14ac:dyDescent="0.3">
      <c r="A37" t="s">
        <v>68</v>
      </c>
      <c r="B37">
        <v>3</v>
      </c>
      <c r="C37">
        <v>-122</v>
      </c>
    </row>
    <row r="38" spans="1:3" x14ac:dyDescent="0.3">
      <c r="A38" t="s">
        <v>68</v>
      </c>
      <c r="B38">
        <v>4</v>
      </c>
      <c r="C38">
        <v>-122.9</v>
      </c>
    </row>
    <row r="39" spans="1:3" x14ac:dyDescent="0.3">
      <c r="A39" t="s">
        <v>68</v>
      </c>
      <c r="B39">
        <v>5</v>
      </c>
      <c r="C39">
        <v>-122.6</v>
      </c>
    </row>
    <row r="40" spans="1:3" x14ac:dyDescent="0.3">
      <c r="A40" t="s">
        <v>68</v>
      </c>
      <c r="B40">
        <v>6</v>
      </c>
      <c r="C40">
        <v>-121.1</v>
      </c>
    </row>
    <row r="41" spans="1:3" x14ac:dyDescent="0.3">
      <c r="A41" t="s">
        <v>68</v>
      </c>
      <c r="B41">
        <v>7</v>
      </c>
      <c r="C41">
        <v>-124</v>
      </c>
    </row>
    <row r="42" spans="1:3" x14ac:dyDescent="0.3">
      <c r="A42" t="s">
        <v>68</v>
      </c>
      <c r="B42">
        <v>8</v>
      </c>
      <c r="C42">
        <v>-123.7</v>
      </c>
    </row>
    <row r="43" spans="1:3" x14ac:dyDescent="0.3">
      <c r="A43" t="s">
        <v>68</v>
      </c>
      <c r="B43">
        <v>9</v>
      </c>
      <c r="C43">
        <v>-123.5</v>
      </c>
    </row>
    <row r="44" spans="1:3" x14ac:dyDescent="0.3">
      <c r="A44" t="s">
        <v>68</v>
      </c>
      <c r="B44">
        <v>10</v>
      </c>
      <c r="C44">
        <v>-121.8</v>
      </c>
    </row>
    <row r="45" spans="1:3" x14ac:dyDescent="0.3">
      <c r="A45" t="s">
        <v>69</v>
      </c>
      <c r="B45">
        <v>1</v>
      </c>
      <c r="C45">
        <v>-157.69999999999999</v>
      </c>
    </row>
    <row r="46" spans="1:3" x14ac:dyDescent="0.3">
      <c r="A46" t="s">
        <v>69</v>
      </c>
      <c r="B46">
        <v>2</v>
      </c>
      <c r="C46">
        <v>-158.1</v>
      </c>
    </row>
    <row r="47" spans="1:3" x14ac:dyDescent="0.3">
      <c r="A47" t="s">
        <v>69</v>
      </c>
      <c r="B47">
        <v>3</v>
      </c>
      <c r="C47">
        <v>-157.19999999999999</v>
      </c>
    </row>
    <row r="48" spans="1:3" x14ac:dyDescent="0.3">
      <c r="A48" t="s">
        <v>69</v>
      </c>
      <c r="B48">
        <v>4</v>
      </c>
      <c r="C48">
        <v>-157.30000000000001</v>
      </c>
    </row>
    <row r="49" spans="1:10" x14ac:dyDescent="0.3">
      <c r="A49" t="s">
        <v>69</v>
      </c>
      <c r="B49">
        <v>5</v>
      </c>
      <c r="C49">
        <v>-157.4</v>
      </c>
    </row>
    <row r="50" spans="1:10" x14ac:dyDescent="0.3">
      <c r="A50" t="s">
        <v>69</v>
      </c>
      <c r="B50">
        <v>6</v>
      </c>
      <c r="C50">
        <v>-156.4</v>
      </c>
    </row>
    <row r="51" spans="1:10" x14ac:dyDescent="0.3">
      <c r="A51" t="s">
        <v>69</v>
      </c>
      <c r="B51">
        <v>7</v>
      </c>
      <c r="C51">
        <v>-156.4</v>
      </c>
    </row>
    <row r="52" spans="1:10" x14ac:dyDescent="0.3">
      <c r="A52" t="s">
        <v>69</v>
      </c>
      <c r="B52">
        <v>8</v>
      </c>
      <c r="C52">
        <v>-157.30000000000001</v>
      </c>
    </row>
    <row r="53" spans="1:10" x14ac:dyDescent="0.3">
      <c r="A53" t="s">
        <v>69</v>
      </c>
      <c r="B53">
        <v>9</v>
      </c>
      <c r="C53">
        <v>-157.19999999999999</v>
      </c>
    </row>
    <row r="54" spans="1:10" x14ac:dyDescent="0.3">
      <c r="A54" t="s">
        <v>69</v>
      </c>
      <c r="B54">
        <v>10</v>
      </c>
      <c r="C54">
        <v>-157.1</v>
      </c>
    </row>
    <row r="55" spans="1:10" x14ac:dyDescent="0.3">
      <c r="A55" t="s">
        <v>86</v>
      </c>
      <c r="B55">
        <v>1</v>
      </c>
      <c r="C55">
        <v>-163.5</v>
      </c>
    </row>
    <row r="56" spans="1:10" x14ac:dyDescent="0.3">
      <c r="A56" t="s">
        <v>86</v>
      </c>
      <c r="B56">
        <v>2</v>
      </c>
      <c r="C56">
        <v>-170.1</v>
      </c>
    </row>
    <row r="57" spans="1:10" x14ac:dyDescent="0.3">
      <c r="A57" t="s">
        <v>86</v>
      </c>
      <c r="B57">
        <v>3</v>
      </c>
      <c r="C57">
        <v>174.5</v>
      </c>
    </row>
    <row r="58" spans="1:10" x14ac:dyDescent="0.3">
      <c r="A58" t="s">
        <v>86</v>
      </c>
      <c r="B58">
        <v>4</v>
      </c>
      <c r="C58">
        <v>173.7</v>
      </c>
    </row>
    <row r="59" spans="1:10" x14ac:dyDescent="0.3">
      <c r="A59" t="s">
        <v>86</v>
      </c>
      <c r="B59">
        <v>5</v>
      </c>
      <c r="C59">
        <v>-179</v>
      </c>
    </row>
    <row r="60" spans="1:10" x14ac:dyDescent="0.3">
      <c r="A60" t="s">
        <v>86</v>
      </c>
      <c r="B60">
        <v>6</v>
      </c>
      <c r="C60">
        <v>154.5</v>
      </c>
    </row>
    <row r="61" spans="1:10" x14ac:dyDescent="0.3">
      <c r="A61" t="s">
        <v>86</v>
      </c>
      <c r="B61">
        <v>7</v>
      </c>
      <c r="C61">
        <v>166.1</v>
      </c>
    </row>
    <row r="62" spans="1:10" x14ac:dyDescent="0.3">
      <c r="A62" t="s">
        <v>86</v>
      </c>
      <c r="B62">
        <v>8</v>
      </c>
      <c r="C62">
        <v>178</v>
      </c>
    </row>
    <row r="63" spans="1:10" x14ac:dyDescent="0.3">
      <c r="A63" t="s">
        <v>86</v>
      </c>
      <c r="B63">
        <v>9</v>
      </c>
      <c r="C63">
        <v>-179.2</v>
      </c>
      <c r="D63" s="1" t="s">
        <v>25</v>
      </c>
      <c r="E63" t="s">
        <v>99</v>
      </c>
      <c r="F63" t="s">
        <v>100</v>
      </c>
    </row>
    <row r="64" spans="1:10" x14ac:dyDescent="0.3">
      <c r="A64" t="s">
        <v>86</v>
      </c>
      <c r="B64">
        <v>10</v>
      </c>
      <c r="C64">
        <v>170</v>
      </c>
      <c r="D64" s="2" t="s">
        <v>86</v>
      </c>
      <c r="E64" s="4">
        <v>-0.755000000000004</v>
      </c>
      <c r="F64" s="4">
        <v>162.91939716830592</v>
      </c>
      <c r="H64" s="2" t="s">
        <v>86</v>
      </c>
      <c r="I64" s="4">
        <v>-0.755000000000004</v>
      </c>
      <c r="J64" s="4">
        <v>162.91939716830592</v>
      </c>
    </row>
    <row r="65" spans="1:10" x14ac:dyDescent="0.3">
      <c r="A65" t="s">
        <v>86</v>
      </c>
      <c r="B65">
        <v>11</v>
      </c>
      <c r="C65">
        <v>-51.1</v>
      </c>
      <c r="D65" s="2" t="s">
        <v>64</v>
      </c>
      <c r="E65" s="4">
        <v>-156.68</v>
      </c>
      <c r="F65" s="4">
        <v>1.6651993540963923</v>
      </c>
      <c r="H65" s="2" t="s">
        <v>64</v>
      </c>
      <c r="I65" s="4">
        <v>-156.68</v>
      </c>
      <c r="J65" s="4">
        <v>1.6651993540963923</v>
      </c>
    </row>
    <row r="66" spans="1:10" x14ac:dyDescent="0.3">
      <c r="A66" t="s">
        <v>86</v>
      </c>
      <c r="B66">
        <v>12</v>
      </c>
      <c r="C66">
        <v>-156.5</v>
      </c>
      <c r="D66" s="2" t="s">
        <v>65</v>
      </c>
      <c r="E66" s="4">
        <v>-154.73999999999998</v>
      </c>
      <c r="F66" s="4">
        <v>0.43767060165996108</v>
      </c>
      <c r="H66" s="2" t="s">
        <v>65</v>
      </c>
      <c r="I66" s="4">
        <v>-154.73999999999998</v>
      </c>
      <c r="J66" s="4">
        <v>0.43767060165996108</v>
      </c>
    </row>
    <row r="67" spans="1:10" x14ac:dyDescent="0.3">
      <c r="A67" t="s">
        <v>86</v>
      </c>
      <c r="B67">
        <v>13</v>
      </c>
      <c r="C67">
        <v>-84</v>
      </c>
      <c r="D67" s="2" t="s">
        <v>66</v>
      </c>
      <c r="E67" s="4">
        <v>-162</v>
      </c>
      <c r="F67" s="4" t="e">
        <v>#DIV/0!</v>
      </c>
      <c r="H67" s="2" t="s">
        <v>66</v>
      </c>
      <c r="I67" s="4">
        <v>-162</v>
      </c>
      <c r="J67" s="4">
        <v>0</v>
      </c>
    </row>
    <row r="68" spans="1:10" x14ac:dyDescent="0.3">
      <c r="A68" t="s">
        <v>86</v>
      </c>
      <c r="B68">
        <v>14</v>
      </c>
      <c r="C68">
        <v>171.2</v>
      </c>
      <c r="D68" s="2" t="s">
        <v>67</v>
      </c>
      <c r="E68" s="4">
        <v>-153.88333333333335</v>
      </c>
      <c r="F68" s="4">
        <v>5.3306716843241011</v>
      </c>
      <c r="H68" s="2" t="s">
        <v>67</v>
      </c>
      <c r="I68" s="4">
        <v>-153.88333333333335</v>
      </c>
      <c r="J68" s="4">
        <v>5.3306716843241011</v>
      </c>
    </row>
    <row r="69" spans="1:10" x14ac:dyDescent="0.3">
      <c r="A69" t="s">
        <v>86</v>
      </c>
      <c r="B69">
        <v>15</v>
      </c>
      <c r="C69">
        <v>177.8</v>
      </c>
      <c r="D69" s="2" t="s">
        <v>68</v>
      </c>
      <c r="E69" s="4">
        <v>-122.7</v>
      </c>
      <c r="F69" s="4">
        <v>0.91651513899102688</v>
      </c>
      <c r="H69" s="2" t="s">
        <v>68</v>
      </c>
      <c r="I69" s="4">
        <v>-122.7</v>
      </c>
      <c r="J69" s="4">
        <v>0.91651513899102688</v>
      </c>
    </row>
    <row r="70" spans="1:10" x14ac:dyDescent="0.3">
      <c r="A70" t="s">
        <v>86</v>
      </c>
      <c r="B70">
        <v>16</v>
      </c>
      <c r="C70">
        <v>-162.1</v>
      </c>
      <c r="D70" s="2" t="s">
        <v>69</v>
      </c>
      <c r="E70" s="4">
        <v>-157.20999999999998</v>
      </c>
      <c r="F70" s="4">
        <v>0.51736511930306872</v>
      </c>
      <c r="H70" s="2" t="s">
        <v>69</v>
      </c>
      <c r="I70" s="4">
        <v>-157.20999999999998</v>
      </c>
      <c r="J70" s="4">
        <v>0.51736511930306872</v>
      </c>
    </row>
    <row r="71" spans="1:10" x14ac:dyDescent="0.3">
      <c r="A71" t="s">
        <v>86</v>
      </c>
      <c r="B71">
        <v>17</v>
      </c>
      <c r="C71">
        <v>-175.6</v>
      </c>
      <c r="D71" s="2" t="s">
        <v>26</v>
      </c>
      <c r="E71" s="4">
        <v>-108.72602739726028</v>
      </c>
      <c r="F71" s="4">
        <v>107.67444634870076</v>
      </c>
    </row>
    <row r="72" spans="1:10" x14ac:dyDescent="0.3">
      <c r="A72" t="s">
        <v>86</v>
      </c>
      <c r="B72">
        <v>18</v>
      </c>
      <c r="C72">
        <v>-54.6</v>
      </c>
    </row>
    <row r="73" spans="1:10" x14ac:dyDescent="0.3">
      <c r="A73" t="s">
        <v>86</v>
      </c>
      <c r="B73">
        <v>19</v>
      </c>
      <c r="C73">
        <v>165.7</v>
      </c>
    </row>
    <row r="74" spans="1:10" x14ac:dyDescent="0.3">
      <c r="A74" t="s">
        <v>86</v>
      </c>
      <c r="B74">
        <v>20</v>
      </c>
      <c r="C74">
        <v>-170.9</v>
      </c>
    </row>
  </sheetData>
  <conditionalFormatting sqref="A55:C74">
    <cfRule type="colorScale" priority="2">
      <colorScale>
        <cfvo type="min"/>
        <cfvo type="max"/>
        <color rgb="FF63BE7B"/>
        <color rgb="FFFCFCFF"/>
      </colorScale>
    </cfRule>
  </conditionalFormatting>
  <conditionalFormatting sqref="C55:C7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5D81-45D2-4959-9720-BE1A72F31DE1}">
  <dimension ref="A3:M104"/>
  <sheetViews>
    <sheetView topLeftCell="A8" workbookViewId="0">
      <selection activeCell="E42" sqref="E42"/>
    </sheetView>
  </sheetViews>
  <sheetFormatPr defaultRowHeight="14.4" x14ac:dyDescent="0.3"/>
  <cols>
    <col min="1" max="1" width="12.44140625" bestFit="1" customWidth="1"/>
    <col min="2" max="2" width="30.21875" bestFit="1" customWidth="1"/>
    <col min="3" max="3" width="29.6640625" bestFit="1" customWidth="1"/>
    <col min="4" max="4" width="7" bestFit="1" customWidth="1"/>
    <col min="5" max="5" width="6" bestFit="1" customWidth="1"/>
    <col min="6" max="6" width="12" bestFit="1" customWidth="1"/>
    <col min="7" max="8" width="7" bestFit="1" customWidth="1"/>
    <col min="9" max="9" width="12" bestFit="1" customWidth="1"/>
  </cols>
  <sheetData>
    <row r="3" spans="1:13" x14ac:dyDescent="0.3">
      <c r="A3" s="1" t="s">
        <v>25</v>
      </c>
      <c r="B3" t="s">
        <v>95</v>
      </c>
      <c r="C3" t="s">
        <v>96</v>
      </c>
      <c r="E3" s="5" t="s">
        <v>25</v>
      </c>
      <c r="F3" s="5" t="s">
        <v>95</v>
      </c>
      <c r="G3" s="5" t="s">
        <v>96</v>
      </c>
    </row>
    <row r="4" spans="1:13" x14ac:dyDescent="0.3">
      <c r="A4" s="2" t="s">
        <v>86</v>
      </c>
      <c r="B4" s="4" t="e">
        <v>#DIV/0!</v>
      </c>
      <c r="C4" s="4" t="e">
        <v>#DIV/0!</v>
      </c>
      <c r="E4" s="2" t="s">
        <v>86</v>
      </c>
      <c r="F4" s="4" t="e">
        <v>#DIV/0!</v>
      </c>
      <c r="G4" s="4">
        <v>0</v>
      </c>
      <c r="K4" s="4"/>
      <c r="L4" s="4"/>
      <c r="M4" s="4"/>
    </row>
    <row r="5" spans="1:13" x14ac:dyDescent="0.3">
      <c r="A5" s="2" t="s">
        <v>64</v>
      </c>
      <c r="B5" s="4">
        <v>0.1782</v>
      </c>
      <c r="C5" s="4">
        <v>1.6348972104963961E-2</v>
      </c>
      <c r="E5" s="2" t="s">
        <v>64</v>
      </c>
      <c r="F5" s="4">
        <v>0.1782</v>
      </c>
      <c r="G5" s="4">
        <v>1.6348972104963961E-2</v>
      </c>
      <c r="J5" s="4"/>
    </row>
    <row r="6" spans="1:13" x14ac:dyDescent="0.3">
      <c r="A6" s="2" t="s">
        <v>65</v>
      </c>
      <c r="B6" s="4">
        <v>0.22549999999999998</v>
      </c>
      <c r="C6" s="4">
        <v>2.4010414407086032E-2</v>
      </c>
      <c r="E6" s="2" t="s">
        <v>65</v>
      </c>
      <c r="F6" s="4">
        <v>0.22549999999999998</v>
      </c>
      <c r="G6" s="4">
        <v>2.4010414407086032E-2</v>
      </c>
    </row>
    <row r="7" spans="1:13" x14ac:dyDescent="0.3">
      <c r="A7" s="2" t="s">
        <v>66</v>
      </c>
      <c r="B7" s="4">
        <v>0.107</v>
      </c>
      <c r="C7" s="4" t="e">
        <v>#DIV/0!</v>
      </c>
      <c r="E7" s="2" t="s">
        <v>66</v>
      </c>
      <c r="F7" s="4">
        <v>0.107</v>
      </c>
      <c r="G7" s="4">
        <v>0</v>
      </c>
    </row>
    <row r="8" spans="1:13" x14ac:dyDescent="0.3">
      <c r="A8" s="2" t="s">
        <v>67</v>
      </c>
      <c r="B8" s="4">
        <v>0.13258333333333336</v>
      </c>
      <c r="C8" s="4">
        <v>5.0207674772494625E-2</v>
      </c>
      <c r="E8" s="2" t="s">
        <v>67</v>
      </c>
      <c r="F8" s="4">
        <v>0.13258333333333336</v>
      </c>
      <c r="G8" s="4">
        <v>5.0207674772494625E-2</v>
      </c>
    </row>
    <row r="9" spans="1:13" x14ac:dyDescent="0.3">
      <c r="A9" s="2" t="s">
        <v>68</v>
      </c>
      <c r="B9" s="4">
        <v>0.38419999999999999</v>
      </c>
      <c r="C9" s="4">
        <v>0.10423669645997474</v>
      </c>
      <c r="E9" s="2" t="s">
        <v>68</v>
      </c>
      <c r="F9" s="4">
        <v>0.38419999999999999</v>
      </c>
      <c r="G9" s="4">
        <v>0.10423669645997474</v>
      </c>
    </row>
    <row r="10" spans="1:13" x14ac:dyDescent="0.3">
      <c r="A10" s="2" t="s">
        <v>69</v>
      </c>
      <c r="B10" s="4">
        <v>0.26910000000000001</v>
      </c>
      <c r="C10" s="4">
        <v>4.9523170783426607E-2</v>
      </c>
      <c r="E10" s="2" t="s">
        <v>69</v>
      </c>
      <c r="F10" s="4">
        <v>0.26910000000000001</v>
      </c>
      <c r="G10" s="4">
        <v>4.9523170783426607E-2</v>
      </c>
    </row>
    <row r="11" spans="1:13" x14ac:dyDescent="0.3">
      <c r="A11" s="2" t="s">
        <v>26</v>
      </c>
      <c r="B11" s="4">
        <v>0.23147169811320761</v>
      </c>
      <c r="C11" s="4">
        <v>0.10416122927269715</v>
      </c>
    </row>
    <row r="31" spans="1:3" x14ac:dyDescent="0.3">
      <c r="A31" t="s">
        <v>71</v>
      </c>
      <c r="B31" t="s">
        <v>72</v>
      </c>
      <c r="C31" t="s">
        <v>73</v>
      </c>
    </row>
    <row r="32" spans="1:3" x14ac:dyDescent="0.3">
      <c r="A32" t="s">
        <v>64</v>
      </c>
      <c r="B32">
        <v>1</v>
      </c>
      <c r="C32">
        <v>0.17799999999999999</v>
      </c>
    </row>
    <row r="33" spans="1:3" x14ac:dyDescent="0.3">
      <c r="A33" t="s">
        <v>64</v>
      </c>
      <c r="B33">
        <v>2</v>
      </c>
      <c r="C33">
        <v>0.16400000000000001</v>
      </c>
    </row>
    <row r="34" spans="1:3" x14ac:dyDescent="0.3">
      <c r="A34" t="s">
        <v>64</v>
      </c>
      <c r="B34">
        <v>3</v>
      </c>
      <c r="C34">
        <v>0.193</v>
      </c>
    </row>
    <row r="35" spans="1:3" x14ac:dyDescent="0.3">
      <c r="A35" t="s">
        <v>64</v>
      </c>
      <c r="B35">
        <v>4</v>
      </c>
      <c r="C35">
        <v>0.189</v>
      </c>
    </row>
    <row r="36" spans="1:3" x14ac:dyDescent="0.3">
      <c r="A36" t="s">
        <v>64</v>
      </c>
      <c r="B36">
        <v>5</v>
      </c>
      <c r="C36">
        <v>0.14899999999999999</v>
      </c>
    </row>
    <row r="37" spans="1:3" x14ac:dyDescent="0.3">
      <c r="A37" t="s">
        <v>64</v>
      </c>
      <c r="B37">
        <v>6</v>
      </c>
      <c r="C37">
        <v>0.184</v>
      </c>
    </row>
    <row r="38" spans="1:3" x14ac:dyDescent="0.3">
      <c r="A38" t="s">
        <v>64</v>
      </c>
      <c r="B38">
        <v>7</v>
      </c>
      <c r="C38">
        <v>0.19400000000000001</v>
      </c>
    </row>
    <row r="39" spans="1:3" x14ac:dyDescent="0.3">
      <c r="A39" t="s">
        <v>64</v>
      </c>
      <c r="B39">
        <v>8</v>
      </c>
      <c r="C39">
        <v>0.16700000000000001</v>
      </c>
    </row>
    <row r="40" spans="1:3" x14ac:dyDescent="0.3">
      <c r="A40" t="s">
        <v>64</v>
      </c>
      <c r="B40">
        <v>9</v>
      </c>
      <c r="C40">
        <v>0.19900000000000001</v>
      </c>
    </row>
    <row r="41" spans="1:3" x14ac:dyDescent="0.3">
      <c r="A41" t="s">
        <v>64</v>
      </c>
      <c r="B41">
        <v>10</v>
      </c>
      <c r="C41">
        <v>0.16500000000000001</v>
      </c>
    </row>
    <row r="42" spans="1:3" x14ac:dyDescent="0.3">
      <c r="A42" t="s">
        <v>65</v>
      </c>
      <c r="B42">
        <v>1</v>
      </c>
      <c r="C42">
        <v>0.20399999999999999</v>
      </c>
    </row>
    <row r="43" spans="1:3" x14ac:dyDescent="0.3">
      <c r="A43" t="s">
        <v>65</v>
      </c>
      <c r="B43">
        <v>2</v>
      </c>
      <c r="C43">
        <v>0.215</v>
      </c>
    </row>
    <row r="44" spans="1:3" x14ac:dyDescent="0.3">
      <c r="A44" t="s">
        <v>65</v>
      </c>
      <c r="B44">
        <v>3</v>
      </c>
      <c r="C44">
        <v>0.215</v>
      </c>
    </row>
    <row r="45" spans="1:3" x14ac:dyDescent="0.3">
      <c r="A45" t="s">
        <v>65</v>
      </c>
      <c r="B45">
        <v>4</v>
      </c>
      <c r="C45">
        <v>0.224</v>
      </c>
    </row>
    <row r="46" spans="1:3" x14ac:dyDescent="0.3">
      <c r="A46" t="s">
        <v>65</v>
      </c>
      <c r="B46">
        <v>5</v>
      </c>
      <c r="C46">
        <v>0.217</v>
      </c>
    </row>
    <row r="47" spans="1:3" x14ac:dyDescent="0.3">
      <c r="A47" t="s">
        <v>65</v>
      </c>
      <c r="B47">
        <v>6</v>
      </c>
      <c r="C47">
        <v>0.22600000000000001</v>
      </c>
    </row>
    <row r="48" spans="1:3" x14ac:dyDescent="0.3">
      <c r="A48" t="s">
        <v>65</v>
      </c>
      <c r="B48">
        <v>7</v>
      </c>
      <c r="C48">
        <v>0.22500000000000001</v>
      </c>
    </row>
    <row r="49" spans="1:3" x14ac:dyDescent="0.3">
      <c r="A49" t="s">
        <v>65</v>
      </c>
      <c r="B49">
        <v>8</v>
      </c>
      <c r="C49">
        <v>0.23300000000000001</v>
      </c>
    </row>
    <row r="50" spans="1:3" x14ac:dyDescent="0.3">
      <c r="A50" t="s">
        <v>65</v>
      </c>
      <c r="B50">
        <v>9</v>
      </c>
      <c r="C50">
        <v>0.28899999999999998</v>
      </c>
    </row>
    <row r="51" spans="1:3" x14ac:dyDescent="0.3">
      <c r="A51" t="s">
        <v>65</v>
      </c>
      <c r="B51">
        <v>10</v>
      </c>
      <c r="C51">
        <v>0.20699999999999999</v>
      </c>
    </row>
    <row r="52" spans="1:3" x14ac:dyDescent="0.3">
      <c r="A52" t="s">
        <v>66</v>
      </c>
      <c r="B52">
        <v>1</v>
      </c>
      <c r="C52">
        <v>0.107</v>
      </c>
    </row>
    <row r="53" spans="1:3" x14ac:dyDescent="0.3">
      <c r="A53" t="s">
        <v>67</v>
      </c>
      <c r="B53">
        <v>1</v>
      </c>
      <c r="C53">
        <v>0.14199999999999999</v>
      </c>
    </row>
    <row r="54" spans="1:3" x14ac:dyDescent="0.3">
      <c r="A54" t="s">
        <v>67</v>
      </c>
      <c r="B54">
        <v>2</v>
      </c>
      <c r="C54">
        <v>0.112</v>
      </c>
    </row>
    <row r="55" spans="1:3" x14ac:dyDescent="0.3">
      <c r="A55" t="s">
        <v>67</v>
      </c>
      <c r="B55">
        <v>3</v>
      </c>
      <c r="C55">
        <v>0.23799999999999999</v>
      </c>
    </row>
    <row r="56" spans="1:3" x14ac:dyDescent="0.3">
      <c r="A56" t="s">
        <v>67</v>
      </c>
      <c r="B56">
        <v>4</v>
      </c>
      <c r="C56">
        <v>0.13900000000000001</v>
      </c>
    </row>
    <row r="57" spans="1:3" x14ac:dyDescent="0.3">
      <c r="A57" t="s">
        <v>67</v>
      </c>
      <c r="B57">
        <v>5</v>
      </c>
      <c r="C57">
        <v>3.7999999999999999E-2</v>
      </c>
    </row>
    <row r="58" spans="1:3" x14ac:dyDescent="0.3">
      <c r="A58" t="s">
        <v>67</v>
      </c>
      <c r="B58">
        <v>6</v>
      </c>
      <c r="C58">
        <v>0.122</v>
      </c>
    </row>
    <row r="59" spans="1:3" x14ac:dyDescent="0.3">
      <c r="A59" t="s">
        <v>67</v>
      </c>
      <c r="B59">
        <v>7</v>
      </c>
      <c r="C59">
        <v>0.155</v>
      </c>
    </row>
    <row r="60" spans="1:3" x14ac:dyDescent="0.3">
      <c r="A60" t="s">
        <v>67</v>
      </c>
      <c r="B60">
        <v>8</v>
      </c>
      <c r="C60">
        <v>0.129</v>
      </c>
    </row>
    <row r="61" spans="1:3" x14ac:dyDescent="0.3">
      <c r="A61" t="s">
        <v>67</v>
      </c>
      <c r="B61">
        <v>9</v>
      </c>
      <c r="C61">
        <v>7.5999999999999998E-2</v>
      </c>
    </row>
    <row r="62" spans="1:3" x14ac:dyDescent="0.3">
      <c r="A62" t="s">
        <v>67</v>
      </c>
      <c r="B62">
        <v>10</v>
      </c>
      <c r="C62">
        <v>0.108</v>
      </c>
    </row>
    <row r="63" spans="1:3" x14ac:dyDescent="0.3">
      <c r="A63" t="s">
        <v>67</v>
      </c>
      <c r="B63">
        <v>11</v>
      </c>
      <c r="C63">
        <v>0.151</v>
      </c>
    </row>
    <row r="64" spans="1:3" x14ac:dyDescent="0.3">
      <c r="A64" t="s">
        <v>67</v>
      </c>
      <c r="B64">
        <v>12</v>
      </c>
      <c r="C64">
        <v>0.18099999999999999</v>
      </c>
    </row>
    <row r="65" spans="1:3" x14ac:dyDescent="0.3">
      <c r="A65" t="s">
        <v>68</v>
      </c>
      <c r="B65">
        <v>1</v>
      </c>
      <c r="C65">
        <v>0.318</v>
      </c>
    </row>
    <row r="66" spans="1:3" x14ac:dyDescent="0.3">
      <c r="A66" t="s">
        <v>68</v>
      </c>
      <c r="B66">
        <v>2</v>
      </c>
      <c r="C66">
        <v>0.315</v>
      </c>
    </row>
    <row r="67" spans="1:3" x14ac:dyDescent="0.3">
      <c r="A67" t="s">
        <v>68</v>
      </c>
      <c r="B67">
        <v>3</v>
      </c>
      <c r="C67">
        <v>0.307</v>
      </c>
    </row>
    <row r="68" spans="1:3" x14ac:dyDescent="0.3">
      <c r="A68" t="s">
        <v>68</v>
      </c>
      <c r="B68">
        <v>4</v>
      </c>
      <c r="C68">
        <v>0.32300000000000001</v>
      </c>
    </row>
    <row r="69" spans="1:3" x14ac:dyDescent="0.3">
      <c r="A69" t="s">
        <v>68</v>
      </c>
      <c r="B69">
        <v>5</v>
      </c>
      <c r="C69">
        <v>0.30499999999999999</v>
      </c>
    </row>
    <row r="70" spans="1:3" x14ac:dyDescent="0.3">
      <c r="A70" t="s">
        <v>68</v>
      </c>
      <c r="B70">
        <v>6</v>
      </c>
      <c r="C70">
        <v>0.32</v>
      </c>
    </row>
    <row r="71" spans="1:3" x14ac:dyDescent="0.3">
      <c r="A71" t="s">
        <v>68</v>
      </c>
      <c r="B71">
        <v>7</v>
      </c>
      <c r="C71">
        <v>0.378</v>
      </c>
    </row>
    <row r="72" spans="1:3" x14ac:dyDescent="0.3">
      <c r="A72" t="s">
        <v>68</v>
      </c>
      <c r="B72">
        <v>8</v>
      </c>
      <c r="C72">
        <v>0.52800000000000002</v>
      </c>
    </row>
    <row r="73" spans="1:3" x14ac:dyDescent="0.3">
      <c r="A73" t="s">
        <v>68</v>
      </c>
      <c r="B73">
        <v>9</v>
      </c>
      <c r="C73">
        <v>0.59</v>
      </c>
    </row>
    <row r="74" spans="1:3" x14ac:dyDescent="0.3">
      <c r="A74" t="s">
        <v>68</v>
      </c>
      <c r="B74">
        <v>10</v>
      </c>
      <c r="C74">
        <v>0.45800000000000002</v>
      </c>
    </row>
    <row r="75" spans="1:3" x14ac:dyDescent="0.3">
      <c r="A75" t="s">
        <v>69</v>
      </c>
      <c r="B75">
        <v>1</v>
      </c>
      <c r="C75">
        <v>0.23799999999999999</v>
      </c>
    </row>
    <row r="76" spans="1:3" x14ac:dyDescent="0.3">
      <c r="A76" t="s">
        <v>69</v>
      </c>
      <c r="B76">
        <v>2</v>
      </c>
      <c r="C76">
        <v>0.19400000000000001</v>
      </c>
    </row>
    <row r="77" spans="1:3" x14ac:dyDescent="0.3">
      <c r="A77" t="s">
        <v>69</v>
      </c>
      <c r="B77">
        <v>3</v>
      </c>
      <c r="C77">
        <v>0.25900000000000001</v>
      </c>
    </row>
    <row r="78" spans="1:3" x14ac:dyDescent="0.3">
      <c r="A78" t="s">
        <v>69</v>
      </c>
      <c r="B78">
        <v>4</v>
      </c>
      <c r="C78">
        <v>0.246</v>
      </c>
    </row>
    <row r="79" spans="1:3" x14ac:dyDescent="0.3">
      <c r="A79" t="s">
        <v>69</v>
      </c>
      <c r="B79">
        <v>5</v>
      </c>
      <c r="C79">
        <v>0.19500000000000001</v>
      </c>
    </row>
    <row r="80" spans="1:3" x14ac:dyDescent="0.3">
      <c r="A80" t="s">
        <v>69</v>
      </c>
      <c r="B80">
        <v>6</v>
      </c>
      <c r="C80">
        <v>0.311</v>
      </c>
    </row>
    <row r="81" spans="1:3" x14ac:dyDescent="0.3">
      <c r="A81" t="s">
        <v>69</v>
      </c>
      <c r="B81">
        <v>7</v>
      </c>
      <c r="C81">
        <v>0.32300000000000001</v>
      </c>
    </row>
    <row r="82" spans="1:3" x14ac:dyDescent="0.3">
      <c r="A82" t="s">
        <v>69</v>
      </c>
      <c r="B82">
        <v>8</v>
      </c>
      <c r="C82">
        <v>0.30299999999999999</v>
      </c>
    </row>
    <row r="83" spans="1:3" x14ac:dyDescent="0.3">
      <c r="A83" t="s">
        <v>69</v>
      </c>
      <c r="B83">
        <v>9</v>
      </c>
      <c r="C83">
        <v>0.308</v>
      </c>
    </row>
    <row r="84" spans="1:3" x14ac:dyDescent="0.3">
      <c r="A84" t="s">
        <v>69</v>
      </c>
      <c r="B84">
        <v>10</v>
      </c>
      <c r="C84">
        <v>0.314</v>
      </c>
    </row>
    <row r="85" spans="1:3" x14ac:dyDescent="0.3">
      <c r="A85" t="s">
        <v>86</v>
      </c>
      <c r="B85">
        <v>1</v>
      </c>
      <c r="C85" t="s">
        <v>85</v>
      </c>
    </row>
    <row r="86" spans="1:3" x14ac:dyDescent="0.3">
      <c r="A86" t="s">
        <v>86</v>
      </c>
      <c r="B86">
        <v>2</v>
      </c>
      <c r="C86" t="s">
        <v>85</v>
      </c>
    </row>
    <row r="87" spans="1:3" x14ac:dyDescent="0.3">
      <c r="A87" t="s">
        <v>86</v>
      </c>
      <c r="B87">
        <v>3</v>
      </c>
      <c r="C87" t="s">
        <v>85</v>
      </c>
    </row>
    <row r="88" spans="1:3" x14ac:dyDescent="0.3">
      <c r="A88" t="s">
        <v>86</v>
      </c>
      <c r="B88">
        <v>4</v>
      </c>
      <c r="C88" t="s">
        <v>85</v>
      </c>
    </row>
    <row r="89" spans="1:3" x14ac:dyDescent="0.3">
      <c r="A89" t="s">
        <v>86</v>
      </c>
      <c r="B89">
        <v>5</v>
      </c>
      <c r="C89" t="s">
        <v>85</v>
      </c>
    </row>
    <row r="90" spans="1:3" x14ac:dyDescent="0.3">
      <c r="A90" t="s">
        <v>86</v>
      </c>
      <c r="B90">
        <v>6</v>
      </c>
      <c r="C90" t="s">
        <v>85</v>
      </c>
    </row>
    <row r="91" spans="1:3" x14ac:dyDescent="0.3">
      <c r="A91" t="s">
        <v>86</v>
      </c>
      <c r="B91">
        <v>7</v>
      </c>
      <c r="C91" t="s">
        <v>85</v>
      </c>
    </row>
    <row r="92" spans="1:3" x14ac:dyDescent="0.3">
      <c r="A92" t="s">
        <v>86</v>
      </c>
      <c r="B92">
        <v>8</v>
      </c>
      <c r="C92" t="s">
        <v>85</v>
      </c>
    </row>
    <row r="93" spans="1:3" x14ac:dyDescent="0.3">
      <c r="A93" t="s">
        <v>86</v>
      </c>
      <c r="B93">
        <v>9</v>
      </c>
      <c r="C93" t="s">
        <v>85</v>
      </c>
    </row>
    <row r="94" spans="1:3" x14ac:dyDescent="0.3">
      <c r="A94" t="s">
        <v>86</v>
      </c>
      <c r="B94">
        <v>10</v>
      </c>
      <c r="C94" t="s">
        <v>85</v>
      </c>
    </row>
    <row r="95" spans="1:3" x14ac:dyDescent="0.3">
      <c r="A95" t="s">
        <v>86</v>
      </c>
      <c r="B95">
        <v>11</v>
      </c>
      <c r="C95" t="s">
        <v>85</v>
      </c>
    </row>
    <row r="96" spans="1:3" x14ac:dyDescent="0.3">
      <c r="A96" t="s">
        <v>86</v>
      </c>
      <c r="B96">
        <v>12</v>
      </c>
      <c r="C96" t="s">
        <v>85</v>
      </c>
    </row>
    <row r="97" spans="1:3" x14ac:dyDescent="0.3">
      <c r="A97" t="s">
        <v>86</v>
      </c>
      <c r="B97">
        <v>13</v>
      </c>
      <c r="C97" t="s">
        <v>85</v>
      </c>
    </row>
    <row r="98" spans="1:3" x14ac:dyDescent="0.3">
      <c r="A98" t="s">
        <v>86</v>
      </c>
      <c r="B98">
        <v>14</v>
      </c>
      <c r="C98" t="s">
        <v>85</v>
      </c>
    </row>
    <row r="99" spans="1:3" x14ac:dyDescent="0.3">
      <c r="A99" t="s">
        <v>86</v>
      </c>
      <c r="B99">
        <v>15</v>
      </c>
      <c r="C99" t="s">
        <v>85</v>
      </c>
    </row>
    <row r="100" spans="1:3" x14ac:dyDescent="0.3">
      <c r="A100" t="s">
        <v>86</v>
      </c>
      <c r="B100">
        <v>16</v>
      </c>
      <c r="C100" t="s">
        <v>85</v>
      </c>
    </row>
    <row r="101" spans="1:3" x14ac:dyDescent="0.3">
      <c r="A101" t="s">
        <v>86</v>
      </c>
      <c r="B101">
        <v>17</v>
      </c>
      <c r="C101" t="s">
        <v>85</v>
      </c>
    </row>
    <row r="102" spans="1:3" x14ac:dyDescent="0.3">
      <c r="A102" t="s">
        <v>86</v>
      </c>
      <c r="B102">
        <v>18</v>
      </c>
      <c r="C102" t="s">
        <v>85</v>
      </c>
    </row>
    <row r="103" spans="1:3" x14ac:dyDescent="0.3">
      <c r="A103" t="s">
        <v>86</v>
      </c>
      <c r="B103">
        <v>19</v>
      </c>
      <c r="C103" t="s">
        <v>85</v>
      </c>
    </row>
    <row r="104" spans="1:3" x14ac:dyDescent="0.3">
      <c r="A104" t="s">
        <v>86</v>
      </c>
      <c r="B104">
        <v>20</v>
      </c>
      <c r="C104" t="s">
        <v>85</v>
      </c>
    </row>
  </sheetData>
  <conditionalFormatting sqref="C32:C84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5E81-965B-41A4-A2C8-E0072C2FEF48}">
  <dimension ref="A3:H11"/>
  <sheetViews>
    <sheetView workbookViewId="0">
      <selection activeCell="B9" sqref="B9"/>
    </sheetView>
  </sheetViews>
  <sheetFormatPr defaultRowHeight="14.4" x14ac:dyDescent="0.3"/>
  <cols>
    <col min="1" max="1" width="12.44140625" bestFit="1" customWidth="1"/>
    <col min="2" max="2" width="26.6640625" bestFit="1" customWidth="1"/>
    <col min="3" max="3" width="27.109375" bestFit="1" customWidth="1"/>
  </cols>
  <sheetData>
    <row r="3" spans="1:8" x14ac:dyDescent="0.3">
      <c r="A3" s="1" t="s">
        <v>25</v>
      </c>
      <c r="B3" t="s">
        <v>97</v>
      </c>
      <c r="C3" t="s">
        <v>98</v>
      </c>
      <c r="F3" s="2" t="s">
        <v>86</v>
      </c>
      <c r="G3" s="4">
        <v>19.380499999999998</v>
      </c>
      <c r="H3" s="4">
        <v>0.9277674107345576</v>
      </c>
    </row>
    <row r="4" spans="1:8" x14ac:dyDescent="0.3">
      <c r="A4" s="2" t="s">
        <v>86</v>
      </c>
      <c r="B4" s="4">
        <v>19.380499999999998</v>
      </c>
      <c r="C4" s="4">
        <v>0.9277674107345576</v>
      </c>
      <c r="F4" s="2" t="s">
        <v>64</v>
      </c>
      <c r="G4" s="4">
        <v>18.697000000000003</v>
      </c>
      <c r="H4" s="4">
        <v>0.10667187487259377</v>
      </c>
    </row>
    <row r="5" spans="1:8" x14ac:dyDescent="0.3">
      <c r="A5" s="2" t="s">
        <v>64</v>
      </c>
      <c r="B5" s="4">
        <v>18.697000000000003</v>
      </c>
      <c r="C5" s="4">
        <v>0.10667187487259377</v>
      </c>
      <c r="F5" s="2" t="s">
        <v>65</v>
      </c>
      <c r="G5" s="4">
        <v>19.463000000000001</v>
      </c>
      <c r="H5" s="4">
        <v>6.1653151671988239E-2</v>
      </c>
    </row>
    <row r="6" spans="1:8" x14ac:dyDescent="0.3">
      <c r="A6" s="2" t="s">
        <v>65</v>
      </c>
      <c r="B6" s="4">
        <v>19.463000000000001</v>
      </c>
      <c r="C6" s="4">
        <v>6.1653151671988239E-2</v>
      </c>
      <c r="F6" s="2" t="s">
        <v>66</v>
      </c>
      <c r="G6" s="4">
        <v>19.57</v>
      </c>
      <c r="H6" s="4">
        <v>0</v>
      </c>
    </row>
    <row r="7" spans="1:8" x14ac:dyDescent="0.3">
      <c r="A7" s="2" t="s">
        <v>66</v>
      </c>
      <c r="B7" s="4">
        <v>19.57</v>
      </c>
      <c r="C7" s="4" t="e">
        <v>#DIV/0!</v>
      </c>
      <c r="F7" s="2" t="s">
        <v>67</v>
      </c>
      <c r="G7" s="4">
        <v>17.678333333333335</v>
      </c>
      <c r="H7" s="4">
        <v>0.17862267662856945</v>
      </c>
    </row>
    <row r="8" spans="1:8" x14ac:dyDescent="0.3">
      <c r="A8" s="2" t="s">
        <v>67</v>
      </c>
      <c r="B8" s="4">
        <v>17.678333333333335</v>
      </c>
      <c r="C8" s="4">
        <v>0.17862267662856945</v>
      </c>
      <c r="F8" s="2" t="s">
        <v>68</v>
      </c>
      <c r="G8" s="4">
        <v>19.015000000000001</v>
      </c>
      <c r="H8" s="4">
        <v>0.17424440051586201</v>
      </c>
    </row>
    <row r="9" spans="1:8" x14ac:dyDescent="0.3">
      <c r="A9" s="2" t="s">
        <v>68</v>
      </c>
      <c r="B9" s="4">
        <v>19.015000000000001</v>
      </c>
      <c r="C9" s="4">
        <v>0.17424440051586201</v>
      </c>
      <c r="F9" s="2" t="s">
        <v>69</v>
      </c>
      <c r="G9" s="4">
        <v>19.687000000000005</v>
      </c>
      <c r="H9" s="4">
        <v>4.3728963193947215E-2</v>
      </c>
    </row>
    <row r="10" spans="1:8" x14ac:dyDescent="0.3">
      <c r="A10" s="2" t="s">
        <v>69</v>
      </c>
      <c r="B10" s="4">
        <v>19.687000000000005</v>
      </c>
      <c r="C10" s="4">
        <v>4.3728963193947215E-2</v>
      </c>
    </row>
    <row r="11" spans="1:8" x14ac:dyDescent="0.3">
      <c r="A11" s="2" t="s">
        <v>26</v>
      </c>
      <c r="B11" s="4">
        <v>19.012876712328776</v>
      </c>
      <c r="C11" s="4">
        <v>0.82568234316290068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A047-9145-41BD-A8AC-7528A99FA4DF}">
  <dimension ref="A1:A7"/>
  <sheetViews>
    <sheetView workbookViewId="0"/>
  </sheetViews>
  <sheetFormatPr defaultRowHeight="14.4" x14ac:dyDescent="0.3"/>
  <sheetData>
    <row r="1" spans="1:1" x14ac:dyDescent="0.3">
      <c r="A1" t="s">
        <v>88</v>
      </c>
    </row>
    <row r="2" spans="1:1" x14ac:dyDescent="0.3">
      <c r="A2" t="s">
        <v>89</v>
      </c>
    </row>
    <row r="3" spans="1:1" x14ac:dyDescent="0.3">
      <c r="A3" t="s">
        <v>90</v>
      </c>
    </row>
    <row r="4" spans="1:1" x14ac:dyDescent="0.3">
      <c r="A4" t="s">
        <v>91</v>
      </c>
    </row>
    <row r="5" spans="1:1" x14ac:dyDescent="0.3">
      <c r="A5" t="s">
        <v>92</v>
      </c>
    </row>
    <row r="6" spans="1:1" x14ac:dyDescent="0.3">
      <c r="A6" t="s">
        <v>93</v>
      </c>
    </row>
    <row r="7" spans="1:1" x14ac:dyDescent="0.3">
      <c r="A7" t="s">
        <v>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6DC1-1B8E-490B-828B-542BC3EA3F96}">
  <dimension ref="A3:C10"/>
  <sheetViews>
    <sheetView workbookViewId="0">
      <selection activeCell="O15" sqref="O15"/>
    </sheetView>
  </sheetViews>
  <sheetFormatPr defaultRowHeight="14.4" x14ac:dyDescent="0.3"/>
  <cols>
    <col min="1" max="1" width="12.44140625" bestFit="1" customWidth="1"/>
    <col min="2" max="2" width="14.77734375" bestFit="1" customWidth="1"/>
    <col min="3" max="3" width="15.21875" bestFit="1" customWidth="1"/>
  </cols>
  <sheetData>
    <row r="3" spans="1:3" x14ac:dyDescent="0.3">
      <c r="A3" s="1" t="s">
        <v>25</v>
      </c>
      <c r="B3" t="s">
        <v>37</v>
      </c>
      <c r="C3" t="s">
        <v>38</v>
      </c>
    </row>
    <row r="4" spans="1:3" x14ac:dyDescent="0.3">
      <c r="A4" s="2">
        <v>2</v>
      </c>
      <c r="B4" s="4">
        <v>3.5200000000000002E-2</v>
      </c>
      <c r="C4" s="4">
        <v>1.5569200364822853E-2</v>
      </c>
    </row>
    <row r="5" spans="1:3" x14ac:dyDescent="0.3">
      <c r="A5" s="2">
        <v>5</v>
      </c>
      <c r="B5" s="4">
        <v>6.0100000000000001E-2</v>
      </c>
      <c r="C5" s="4">
        <v>1.1005049346143215E-3</v>
      </c>
    </row>
    <row r="6" spans="1:3" x14ac:dyDescent="0.3">
      <c r="A6" s="2">
        <v>6</v>
      </c>
      <c r="B6" s="4">
        <v>6.7199999999999996E-2</v>
      </c>
      <c r="C6" s="4">
        <v>1.5852094148373266E-2</v>
      </c>
    </row>
    <row r="7" spans="1:3" x14ac:dyDescent="0.3">
      <c r="A7" s="2">
        <v>3</v>
      </c>
      <c r="B7" s="4">
        <v>7.4999999999999997E-2</v>
      </c>
      <c r="C7" s="4" t="e">
        <v>#DIV/0!</v>
      </c>
    </row>
    <row r="8" spans="1:3" x14ac:dyDescent="0.3">
      <c r="A8" s="2">
        <v>4</v>
      </c>
      <c r="B8" s="4">
        <v>8.3083333333333328E-2</v>
      </c>
      <c r="C8" s="4">
        <v>1.4500522456627255E-2</v>
      </c>
    </row>
    <row r="9" spans="1:3" x14ac:dyDescent="0.3">
      <c r="A9" s="2">
        <v>1</v>
      </c>
      <c r="B9" s="4">
        <v>0.1042</v>
      </c>
      <c r="C9" s="4">
        <v>1.2272824541327906E-2</v>
      </c>
    </row>
    <row r="10" spans="1:3" x14ac:dyDescent="0.3">
      <c r="A10" s="2" t="s">
        <v>26</v>
      </c>
      <c r="B10" s="4">
        <v>7.0547169811320767E-2</v>
      </c>
      <c r="C10" s="4">
        <v>2.5962669974804363E-2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E4FB-84BA-4D3F-BA0E-6F8E7D732D48}">
  <dimension ref="A3:H17"/>
  <sheetViews>
    <sheetView workbookViewId="0">
      <selection activeCell="N25" sqref="N25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7" width="3" bestFit="1" customWidth="1"/>
    <col min="8" max="8" width="10.5546875" bestFit="1" customWidth="1"/>
  </cols>
  <sheetData>
    <row r="3" spans="1:8" x14ac:dyDescent="0.3">
      <c r="A3" s="1" t="s">
        <v>40</v>
      </c>
      <c r="B3" s="1" t="s">
        <v>30</v>
      </c>
    </row>
    <row r="4" spans="1:8" x14ac:dyDescent="0.3">
      <c r="A4" s="1" t="s">
        <v>25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 t="s">
        <v>26</v>
      </c>
    </row>
    <row r="5" spans="1:8" x14ac:dyDescent="0.3">
      <c r="A5" s="2">
        <v>1</v>
      </c>
      <c r="B5" s="4">
        <v>20</v>
      </c>
      <c r="C5" s="4">
        <v>12</v>
      </c>
      <c r="D5" s="4">
        <v>20</v>
      </c>
      <c r="E5" s="4">
        <v>14</v>
      </c>
      <c r="F5" s="4">
        <v>20</v>
      </c>
      <c r="G5" s="4">
        <v>14</v>
      </c>
      <c r="H5" s="4">
        <v>20</v>
      </c>
    </row>
    <row r="6" spans="1:8" x14ac:dyDescent="0.3">
      <c r="A6" s="2">
        <v>2</v>
      </c>
      <c r="B6" s="4">
        <v>12</v>
      </c>
      <c r="C6" s="4">
        <v>14</v>
      </c>
      <c r="D6" s="4"/>
      <c r="E6" s="4">
        <v>14</v>
      </c>
      <c r="F6" s="4">
        <v>20</v>
      </c>
      <c r="G6" s="4">
        <v>14</v>
      </c>
      <c r="H6" s="4">
        <v>20</v>
      </c>
    </row>
    <row r="7" spans="1:8" x14ac:dyDescent="0.3">
      <c r="A7" s="2">
        <v>3</v>
      </c>
      <c r="B7" s="4">
        <v>20</v>
      </c>
      <c r="C7" s="4">
        <v>12</v>
      </c>
      <c r="D7" s="4"/>
      <c r="E7" s="4">
        <v>14</v>
      </c>
      <c r="F7" s="4">
        <v>20</v>
      </c>
      <c r="G7" s="4">
        <v>14</v>
      </c>
      <c r="H7" s="4">
        <v>20</v>
      </c>
    </row>
    <row r="8" spans="1:8" x14ac:dyDescent="0.3">
      <c r="A8" s="2">
        <v>4</v>
      </c>
      <c r="B8" s="4">
        <v>20</v>
      </c>
      <c r="C8" s="4">
        <v>12</v>
      </c>
      <c r="D8" s="4"/>
      <c r="E8" s="4">
        <v>14</v>
      </c>
      <c r="F8" s="4">
        <v>20</v>
      </c>
      <c r="G8" s="4">
        <v>14</v>
      </c>
      <c r="H8" s="4">
        <v>20</v>
      </c>
    </row>
    <row r="9" spans="1:8" x14ac:dyDescent="0.3">
      <c r="A9" s="2">
        <v>5</v>
      </c>
      <c r="B9" s="4">
        <v>20</v>
      </c>
      <c r="C9" s="4">
        <v>12</v>
      </c>
      <c r="D9" s="4"/>
      <c r="E9" s="4">
        <v>14</v>
      </c>
      <c r="F9" s="4">
        <v>12</v>
      </c>
      <c r="G9" s="4">
        <v>14</v>
      </c>
      <c r="H9" s="4">
        <v>20</v>
      </c>
    </row>
    <row r="10" spans="1:8" x14ac:dyDescent="0.3">
      <c r="A10" s="2">
        <v>6</v>
      </c>
      <c r="B10" s="4">
        <v>14</v>
      </c>
      <c r="C10" s="4">
        <v>12</v>
      </c>
      <c r="D10" s="4"/>
      <c r="E10" s="4">
        <v>14</v>
      </c>
      <c r="F10" s="4">
        <v>12</v>
      </c>
      <c r="G10" s="4">
        <v>14</v>
      </c>
      <c r="H10" s="4">
        <v>14</v>
      </c>
    </row>
    <row r="11" spans="1:8" x14ac:dyDescent="0.3">
      <c r="A11" s="2">
        <v>7</v>
      </c>
      <c r="B11" s="4">
        <v>20</v>
      </c>
      <c r="C11" s="4">
        <v>12</v>
      </c>
      <c r="D11" s="4"/>
      <c r="E11" s="4">
        <v>7</v>
      </c>
      <c r="F11" s="4">
        <v>20</v>
      </c>
      <c r="G11" s="4">
        <v>14</v>
      </c>
      <c r="H11" s="4">
        <v>20</v>
      </c>
    </row>
    <row r="12" spans="1:8" x14ac:dyDescent="0.3">
      <c r="A12" s="2">
        <v>8</v>
      </c>
      <c r="B12" s="4">
        <v>12</v>
      </c>
      <c r="C12" s="4">
        <v>12</v>
      </c>
      <c r="D12" s="4"/>
      <c r="E12" s="4">
        <v>14</v>
      </c>
      <c r="F12" s="4">
        <v>20</v>
      </c>
      <c r="G12" s="4">
        <v>14</v>
      </c>
      <c r="H12" s="4">
        <v>20</v>
      </c>
    </row>
    <row r="13" spans="1:8" x14ac:dyDescent="0.3">
      <c r="A13" s="2">
        <v>9</v>
      </c>
      <c r="B13" s="4">
        <v>20</v>
      </c>
      <c r="C13" s="4">
        <v>12</v>
      </c>
      <c r="D13" s="4"/>
      <c r="E13" s="4">
        <v>7</v>
      </c>
      <c r="F13" s="4">
        <v>20</v>
      </c>
      <c r="G13" s="4">
        <v>14</v>
      </c>
      <c r="H13" s="4">
        <v>20</v>
      </c>
    </row>
    <row r="14" spans="1:8" x14ac:dyDescent="0.3">
      <c r="A14" s="2">
        <v>10</v>
      </c>
      <c r="B14" s="4">
        <v>12</v>
      </c>
      <c r="C14" s="4">
        <v>12</v>
      </c>
      <c r="D14" s="4"/>
      <c r="E14" s="4">
        <v>14</v>
      </c>
      <c r="F14" s="4">
        <v>12</v>
      </c>
      <c r="G14" s="4">
        <v>14</v>
      </c>
      <c r="H14" s="4">
        <v>14</v>
      </c>
    </row>
    <row r="15" spans="1:8" x14ac:dyDescent="0.3">
      <c r="A15" s="2">
        <v>11</v>
      </c>
      <c r="B15" s="4"/>
      <c r="C15" s="4"/>
      <c r="D15" s="4"/>
      <c r="E15" s="4">
        <v>14</v>
      </c>
      <c r="F15" s="4"/>
      <c r="G15" s="4"/>
      <c r="H15" s="4">
        <v>14</v>
      </c>
    </row>
    <row r="16" spans="1:8" x14ac:dyDescent="0.3">
      <c r="A16" s="2">
        <v>12</v>
      </c>
      <c r="B16" s="4"/>
      <c r="C16" s="4"/>
      <c r="D16" s="4"/>
      <c r="E16" s="4">
        <v>14</v>
      </c>
      <c r="F16" s="4"/>
      <c r="G16" s="4"/>
      <c r="H16" s="4">
        <v>14</v>
      </c>
    </row>
    <row r="17" spans="1:8" x14ac:dyDescent="0.3">
      <c r="A17" s="2" t="s">
        <v>26</v>
      </c>
      <c r="B17" s="4">
        <v>20</v>
      </c>
      <c r="C17" s="4">
        <v>14</v>
      </c>
      <c r="D17" s="4">
        <v>20</v>
      </c>
      <c r="E17" s="4">
        <v>14</v>
      </c>
      <c r="F17" s="4">
        <v>20</v>
      </c>
      <c r="G17" s="4">
        <v>14</v>
      </c>
      <c r="H17" s="4">
        <v>20</v>
      </c>
    </row>
  </sheetData>
  <conditionalFormatting pivot="1" sqref="B5:H1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2268-8D93-4579-A3E5-0E3152E4E637}">
  <dimension ref="A1:E54"/>
  <sheetViews>
    <sheetView workbookViewId="0">
      <selection activeCell="H45" sqref="H45"/>
    </sheetView>
  </sheetViews>
  <sheetFormatPr defaultRowHeight="14.4" x14ac:dyDescent="0.3"/>
  <sheetData>
    <row r="1" spans="1:5" x14ac:dyDescent="0.3">
      <c r="A1" t="s">
        <v>24</v>
      </c>
      <c r="B1" t="s">
        <v>0</v>
      </c>
      <c r="C1" t="s">
        <v>1</v>
      </c>
      <c r="D1" t="s">
        <v>31</v>
      </c>
      <c r="E1" t="s">
        <v>39</v>
      </c>
    </row>
    <row r="2" spans="1:5" x14ac:dyDescent="0.3">
      <c r="A2">
        <v>1</v>
      </c>
      <c r="B2">
        <v>1</v>
      </c>
      <c r="C2" t="s">
        <v>32</v>
      </c>
      <c r="D2">
        <v>9.1999999999999998E-2</v>
      </c>
      <c r="E2">
        <f>IFERROR(--MID(C2, FIND("_",C2)+1, 99),"")</f>
        <v>20</v>
      </c>
    </row>
    <row r="3" spans="1:5" x14ac:dyDescent="0.3">
      <c r="A3">
        <v>1</v>
      </c>
      <c r="B3" s="4">
        <v>2</v>
      </c>
      <c r="C3" t="s">
        <v>33</v>
      </c>
      <c r="D3">
        <v>9.2999999999999999E-2</v>
      </c>
      <c r="E3">
        <f t="shared" ref="E3:E54" si="0">IFERROR(--MID(C3, FIND("_",C3)+1, 99),"")</f>
        <v>12</v>
      </c>
    </row>
    <row r="4" spans="1:5" x14ac:dyDescent="0.3">
      <c r="A4">
        <v>1</v>
      </c>
      <c r="B4" s="4">
        <v>3</v>
      </c>
      <c r="C4" t="s">
        <v>32</v>
      </c>
      <c r="D4">
        <v>0.108</v>
      </c>
      <c r="E4">
        <f t="shared" si="0"/>
        <v>20</v>
      </c>
    </row>
    <row r="5" spans="1:5" x14ac:dyDescent="0.3">
      <c r="A5">
        <v>1</v>
      </c>
      <c r="B5" s="4">
        <v>4</v>
      </c>
      <c r="C5" t="s">
        <v>32</v>
      </c>
      <c r="D5">
        <v>0.113</v>
      </c>
      <c r="E5">
        <f t="shared" si="0"/>
        <v>20</v>
      </c>
    </row>
    <row r="6" spans="1:5" x14ac:dyDescent="0.3">
      <c r="A6">
        <v>1</v>
      </c>
      <c r="B6" s="4">
        <v>5</v>
      </c>
      <c r="C6" t="s">
        <v>32</v>
      </c>
      <c r="D6">
        <v>0.11600000000000001</v>
      </c>
      <c r="E6">
        <f t="shared" si="0"/>
        <v>20</v>
      </c>
    </row>
    <row r="7" spans="1:5" x14ac:dyDescent="0.3">
      <c r="A7">
        <v>1</v>
      </c>
      <c r="B7" s="4">
        <v>6</v>
      </c>
      <c r="C7" t="s">
        <v>34</v>
      </c>
      <c r="D7">
        <v>0.11</v>
      </c>
      <c r="E7">
        <f t="shared" si="0"/>
        <v>14</v>
      </c>
    </row>
    <row r="8" spans="1:5" x14ac:dyDescent="0.3">
      <c r="A8">
        <v>1</v>
      </c>
      <c r="B8" s="4">
        <v>7</v>
      </c>
      <c r="C8" t="s">
        <v>32</v>
      </c>
      <c r="D8">
        <v>0.112</v>
      </c>
      <c r="E8">
        <f t="shared" si="0"/>
        <v>20</v>
      </c>
    </row>
    <row r="9" spans="1:5" x14ac:dyDescent="0.3">
      <c r="A9">
        <v>1</v>
      </c>
      <c r="B9" s="4">
        <v>8</v>
      </c>
      <c r="C9" t="s">
        <v>33</v>
      </c>
      <c r="D9">
        <v>7.8E-2</v>
      </c>
      <c r="E9">
        <f t="shared" si="0"/>
        <v>12</v>
      </c>
    </row>
    <row r="10" spans="1:5" x14ac:dyDescent="0.3">
      <c r="A10">
        <v>1</v>
      </c>
      <c r="B10" s="4">
        <v>9</v>
      </c>
      <c r="C10" t="s">
        <v>32</v>
      </c>
      <c r="D10">
        <v>0.111</v>
      </c>
      <c r="E10">
        <f t="shared" si="0"/>
        <v>20</v>
      </c>
    </row>
    <row r="11" spans="1:5" x14ac:dyDescent="0.3">
      <c r="A11">
        <v>1</v>
      </c>
      <c r="B11" s="4">
        <v>10</v>
      </c>
      <c r="C11" t="s">
        <v>33</v>
      </c>
      <c r="D11">
        <v>0.109</v>
      </c>
      <c r="E11">
        <f t="shared" si="0"/>
        <v>12</v>
      </c>
    </row>
    <row r="12" spans="1:5" x14ac:dyDescent="0.3">
      <c r="A12">
        <v>2</v>
      </c>
      <c r="B12" s="4">
        <v>1</v>
      </c>
      <c r="C12" t="s">
        <v>33</v>
      </c>
      <c r="D12">
        <v>2.5999999999999999E-2</v>
      </c>
      <c r="E12">
        <f t="shared" si="0"/>
        <v>12</v>
      </c>
    </row>
    <row r="13" spans="1:5" x14ac:dyDescent="0.3">
      <c r="A13">
        <v>2</v>
      </c>
      <c r="B13" s="4">
        <v>2</v>
      </c>
      <c r="C13" t="s">
        <v>34</v>
      </c>
      <c r="D13">
        <v>7.0000000000000007E-2</v>
      </c>
      <c r="E13">
        <f t="shared" si="0"/>
        <v>14</v>
      </c>
    </row>
    <row r="14" spans="1:5" x14ac:dyDescent="0.3">
      <c r="A14">
        <v>2</v>
      </c>
      <c r="B14" s="4">
        <v>3</v>
      </c>
      <c r="C14" t="s">
        <v>33</v>
      </c>
      <c r="D14">
        <v>4.3999999999999997E-2</v>
      </c>
      <c r="E14">
        <f t="shared" si="0"/>
        <v>12</v>
      </c>
    </row>
    <row r="15" spans="1:5" x14ac:dyDescent="0.3">
      <c r="A15">
        <v>2</v>
      </c>
      <c r="B15" s="4">
        <v>4</v>
      </c>
      <c r="C15" t="s">
        <v>33</v>
      </c>
      <c r="D15">
        <v>0.05</v>
      </c>
      <c r="E15">
        <f t="shared" si="0"/>
        <v>12</v>
      </c>
    </row>
    <row r="16" spans="1:5" x14ac:dyDescent="0.3">
      <c r="A16">
        <v>2</v>
      </c>
      <c r="B16" s="4">
        <v>5</v>
      </c>
      <c r="C16" t="s">
        <v>33</v>
      </c>
      <c r="D16">
        <v>2.5000000000000001E-2</v>
      </c>
      <c r="E16">
        <f t="shared" si="0"/>
        <v>12</v>
      </c>
    </row>
    <row r="17" spans="1:5" x14ac:dyDescent="0.3">
      <c r="A17">
        <v>2</v>
      </c>
      <c r="B17" s="4">
        <v>6</v>
      </c>
      <c r="C17" t="s">
        <v>33</v>
      </c>
      <c r="D17">
        <v>2.5000000000000001E-2</v>
      </c>
      <c r="E17">
        <f t="shared" si="0"/>
        <v>12</v>
      </c>
    </row>
    <row r="18" spans="1:5" x14ac:dyDescent="0.3">
      <c r="A18">
        <v>2</v>
      </c>
      <c r="B18" s="4">
        <v>7</v>
      </c>
      <c r="C18" t="s">
        <v>33</v>
      </c>
      <c r="D18">
        <v>2.4E-2</v>
      </c>
      <c r="E18">
        <f t="shared" si="0"/>
        <v>12</v>
      </c>
    </row>
    <row r="19" spans="1:5" x14ac:dyDescent="0.3">
      <c r="A19">
        <v>2</v>
      </c>
      <c r="B19" s="4">
        <v>8</v>
      </c>
      <c r="C19" t="s">
        <v>33</v>
      </c>
      <c r="D19">
        <v>2.7E-2</v>
      </c>
      <c r="E19">
        <f t="shared" si="0"/>
        <v>12</v>
      </c>
    </row>
    <row r="20" spans="1:5" x14ac:dyDescent="0.3">
      <c r="A20">
        <v>2</v>
      </c>
      <c r="B20" s="4">
        <v>9</v>
      </c>
      <c r="C20" t="s">
        <v>33</v>
      </c>
      <c r="D20">
        <v>3.9E-2</v>
      </c>
      <c r="E20">
        <f t="shared" si="0"/>
        <v>12</v>
      </c>
    </row>
    <row r="21" spans="1:5" x14ac:dyDescent="0.3">
      <c r="A21">
        <v>2</v>
      </c>
      <c r="B21" s="4">
        <v>10</v>
      </c>
      <c r="C21" t="s">
        <v>33</v>
      </c>
      <c r="D21">
        <v>2.1999999999999999E-2</v>
      </c>
      <c r="E21">
        <f t="shared" si="0"/>
        <v>12</v>
      </c>
    </row>
    <row r="22" spans="1:5" x14ac:dyDescent="0.3">
      <c r="A22">
        <v>3</v>
      </c>
      <c r="B22" s="4">
        <v>1</v>
      </c>
      <c r="C22" t="s">
        <v>32</v>
      </c>
      <c r="D22">
        <v>7.4999999999999997E-2</v>
      </c>
      <c r="E22">
        <f t="shared" si="0"/>
        <v>20</v>
      </c>
    </row>
    <row r="23" spans="1:5" x14ac:dyDescent="0.3">
      <c r="A23">
        <v>4</v>
      </c>
      <c r="B23" s="4">
        <v>1</v>
      </c>
      <c r="C23" t="s">
        <v>34</v>
      </c>
      <c r="D23">
        <v>9.4E-2</v>
      </c>
      <c r="E23">
        <f t="shared" si="0"/>
        <v>14</v>
      </c>
    </row>
    <row r="24" spans="1:5" x14ac:dyDescent="0.3">
      <c r="A24">
        <v>4</v>
      </c>
      <c r="B24" s="4">
        <v>2</v>
      </c>
      <c r="C24" t="s">
        <v>34</v>
      </c>
      <c r="D24">
        <v>6.8000000000000005E-2</v>
      </c>
      <c r="E24">
        <f t="shared" si="0"/>
        <v>14</v>
      </c>
    </row>
    <row r="25" spans="1:5" x14ac:dyDescent="0.3">
      <c r="A25">
        <v>4</v>
      </c>
      <c r="B25" s="4">
        <v>3</v>
      </c>
      <c r="C25" t="s">
        <v>34</v>
      </c>
      <c r="D25">
        <v>6.7000000000000004E-2</v>
      </c>
      <c r="E25">
        <f t="shared" si="0"/>
        <v>14</v>
      </c>
    </row>
    <row r="26" spans="1:5" x14ac:dyDescent="0.3">
      <c r="A26">
        <v>4</v>
      </c>
      <c r="B26" s="4">
        <v>4</v>
      </c>
      <c r="C26" t="s">
        <v>34</v>
      </c>
      <c r="D26">
        <v>9.5000000000000001E-2</v>
      </c>
      <c r="E26">
        <f t="shared" si="0"/>
        <v>14</v>
      </c>
    </row>
    <row r="27" spans="1:5" x14ac:dyDescent="0.3">
      <c r="A27">
        <v>4</v>
      </c>
      <c r="B27" s="4">
        <v>5</v>
      </c>
      <c r="C27" t="s">
        <v>34</v>
      </c>
      <c r="D27">
        <v>6.5000000000000002E-2</v>
      </c>
      <c r="E27">
        <f t="shared" si="0"/>
        <v>14</v>
      </c>
    </row>
    <row r="28" spans="1:5" x14ac:dyDescent="0.3">
      <c r="A28">
        <v>4</v>
      </c>
      <c r="B28" s="4">
        <v>6</v>
      </c>
      <c r="C28" t="s">
        <v>34</v>
      </c>
      <c r="D28">
        <v>6.5000000000000002E-2</v>
      </c>
      <c r="E28">
        <f t="shared" si="0"/>
        <v>14</v>
      </c>
    </row>
    <row r="29" spans="1:5" x14ac:dyDescent="0.3">
      <c r="A29">
        <v>4</v>
      </c>
      <c r="B29">
        <v>7</v>
      </c>
      <c r="C29" t="s">
        <v>35</v>
      </c>
      <c r="D29">
        <v>0.09</v>
      </c>
      <c r="E29">
        <f t="shared" si="0"/>
        <v>7</v>
      </c>
    </row>
    <row r="30" spans="1:5" x14ac:dyDescent="0.3">
      <c r="A30">
        <v>4</v>
      </c>
      <c r="B30">
        <v>8</v>
      </c>
      <c r="C30" t="s">
        <v>34</v>
      </c>
      <c r="D30">
        <v>9.4E-2</v>
      </c>
      <c r="E30">
        <f t="shared" si="0"/>
        <v>14</v>
      </c>
    </row>
    <row r="31" spans="1:5" x14ac:dyDescent="0.3">
      <c r="A31">
        <v>4</v>
      </c>
      <c r="B31">
        <v>9</v>
      </c>
      <c r="C31" t="s">
        <v>35</v>
      </c>
      <c r="D31">
        <v>8.8999999999999996E-2</v>
      </c>
      <c r="E31">
        <f t="shared" si="0"/>
        <v>7</v>
      </c>
    </row>
    <row r="32" spans="1:5" x14ac:dyDescent="0.3">
      <c r="A32">
        <v>4</v>
      </c>
      <c r="B32" s="4">
        <v>10</v>
      </c>
      <c r="C32" t="s">
        <v>34</v>
      </c>
      <c r="D32">
        <v>9.6000000000000002E-2</v>
      </c>
      <c r="E32">
        <f t="shared" si="0"/>
        <v>14</v>
      </c>
    </row>
    <row r="33" spans="1:5" x14ac:dyDescent="0.3">
      <c r="A33">
        <v>4</v>
      </c>
      <c r="B33" s="4">
        <v>11</v>
      </c>
      <c r="C33" t="s">
        <v>34</v>
      </c>
      <c r="D33">
        <v>7.0999999999999994E-2</v>
      </c>
      <c r="E33">
        <f t="shared" si="0"/>
        <v>14</v>
      </c>
    </row>
    <row r="34" spans="1:5" x14ac:dyDescent="0.3">
      <c r="A34">
        <v>4</v>
      </c>
      <c r="B34" s="4">
        <v>12</v>
      </c>
      <c r="C34" t="s">
        <v>34</v>
      </c>
      <c r="D34">
        <v>0.10299999999999999</v>
      </c>
      <c r="E34">
        <f t="shared" si="0"/>
        <v>14</v>
      </c>
    </row>
    <row r="35" spans="1:5" x14ac:dyDescent="0.3">
      <c r="A35">
        <v>5</v>
      </c>
      <c r="B35" s="4">
        <v>1</v>
      </c>
      <c r="C35" t="s">
        <v>32</v>
      </c>
      <c r="D35">
        <v>6.0999999999999999E-2</v>
      </c>
      <c r="E35">
        <f t="shared" si="0"/>
        <v>20</v>
      </c>
    </row>
    <row r="36" spans="1:5" x14ac:dyDescent="0.3">
      <c r="A36">
        <v>5</v>
      </c>
      <c r="B36" s="4">
        <v>2</v>
      </c>
      <c r="C36" t="s">
        <v>32</v>
      </c>
      <c r="D36">
        <v>6.2E-2</v>
      </c>
      <c r="E36">
        <f t="shared" si="0"/>
        <v>20</v>
      </c>
    </row>
    <row r="37" spans="1:5" x14ac:dyDescent="0.3">
      <c r="A37">
        <v>5</v>
      </c>
      <c r="B37" s="4">
        <v>3</v>
      </c>
      <c r="C37" t="s">
        <v>32</v>
      </c>
      <c r="D37">
        <v>5.8999999999999997E-2</v>
      </c>
      <c r="E37">
        <f t="shared" si="0"/>
        <v>20</v>
      </c>
    </row>
    <row r="38" spans="1:5" x14ac:dyDescent="0.3">
      <c r="A38">
        <v>5</v>
      </c>
      <c r="B38" s="4">
        <v>4</v>
      </c>
      <c r="C38" t="s">
        <v>32</v>
      </c>
      <c r="D38">
        <v>5.8000000000000003E-2</v>
      </c>
      <c r="E38">
        <f t="shared" si="0"/>
        <v>20</v>
      </c>
    </row>
    <row r="39" spans="1:5" x14ac:dyDescent="0.3">
      <c r="A39">
        <v>5</v>
      </c>
      <c r="B39" s="4">
        <v>5</v>
      </c>
      <c r="C39" t="s">
        <v>33</v>
      </c>
      <c r="D39">
        <v>0.06</v>
      </c>
      <c r="E39">
        <f t="shared" si="0"/>
        <v>12</v>
      </c>
    </row>
    <row r="40" spans="1:5" x14ac:dyDescent="0.3">
      <c r="A40">
        <v>5</v>
      </c>
      <c r="B40" s="4">
        <v>6</v>
      </c>
      <c r="C40" t="s">
        <v>33</v>
      </c>
      <c r="D40">
        <v>0.06</v>
      </c>
      <c r="E40">
        <f t="shared" si="0"/>
        <v>12</v>
      </c>
    </row>
    <row r="41" spans="1:5" x14ac:dyDescent="0.3">
      <c r="A41">
        <v>5</v>
      </c>
      <c r="B41" s="4">
        <v>7</v>
      </c>
      <c r="C41" t="s">
        <v>32</v>
      </c>
      <c r="D41">
        <v>6.0999999999999999E-2</v>
      </c>
      <c r="E41">
        <f t="shared" si="0"/>
        <v>20</v>
      </c>
    </row>
    <row r="42" spans="1:5" x14ac:dyDescent="0.3">
      <c r="A42">
        <v>5</v>
      </c>
      <c r="B42" s="4">
        <v>8</v>
      </c>
      <c r="C42" t="s">
        <v>32</v>
      </c>
      <c r="D42">
        <v>0.06</v>
      </c>
      <c r="E42">
        <f t="shared" si="0"/>
        <v>20</v>
      </c>
    </row>
    <row r="43" spans="1:5" x14ac:dyDescent="0.3">
      <c r="A43">
        <v>5</v>
      </c>
      <c r="B43" s="4">
        <v>9</v>
      </c>
      <c r="C43" t="s">
        <v>32</v>
      </c>
      <c r="D43">
        <v>0.06</v>
      </c>
      <c r="E43">
        <f t="shared" si="0"/>
        <v>20</v>
      </c>
    </row>
    <row r="44" spans="1:5" x14ac:dyDescent="0.3">
      <c r="A44">
        <v>5</v>
      </c>
      <c r="B44" s="4">
        <v>10</v>
      </c>
      <c r="C44" t="s">
        <v>33</v>
      </c>
      <c r="D44">
        <v>0.06</v>
      </c>
      <c r="E44">
        <f t="shared" si="0"/>
        <v>12</v>
      </c>
    </row>
    <row r="45" spans="1:5" x14ac:dyDescent="0.3">
      <c r="A45">
        <v>6</v>
      </c>
      <c r="B45" s="4">
        <v>1</v>
      </c>
      <c r="C45" t="s">
        <v>34</v>
      </c>
      <c r="D45">
        <v>5.3999999999999999E-2</v>
      </c>
      <c r="E45">
        <f t="shared" si="0"/>
        <v>14</v>
      </c>
    </row>
    <row r="46" spans="1:5" x14ac:dyDescent="0.3">
      <c r="A46">
        <v>6</v>
      </c>
      <c r="B46" s="4">
        <v>2</v>
      </c>
      <c r="C46" t="s">
        <v>34</v>
      </c>
      <c r="D46">
        <v>5.1999999999999998E-2</v>
      </c>
      <c r="E46">
        <f t="shared" si="0"/>
        <v>14</v>
      </c>
    </row>
    <row r="47" spans="1:5" x14ac:dyDescent="0.3">
      <c r="A47">
        <v>6</v>
      </c>
      <c r="B47" s="4">
        <v>3</v>
      </c>
      <c r="C47" t="s">
        <v>34</v>
      </c>
      <c r="D47">
        <v>5.7000000000000002E-2</v>
      </c>
      <c r="E47">
        <f t="shared" si="0"/>
        <v>14</v>
      </c>
    </row>
    <row r="48" spans="1:5" x14ac:dyDescent="0.3">
      <c r="A48">
        <v>6</v>
      </c>
      <c r="B48" s="4">
        <v>4</v>
      </c>
      <c r="C48" t="s">
        <v>34</v>
      </c>
      <c r="D48">
        <v>5.5E-2</v>
      </c>
      <c r="E48">
        <f t="shared" si="0"/>
        <v>14</v>
      </c>
    </row>
    <row r="49" spans="1:5" x14ac:dyDescent="0.3">
      <c r="A49">
        <v>6</v>
      </c>
      <c r="B49" s="4">
        <v>5</v>
      </c>
      <c r="C49" t="s">
        <v>34</v>
      </c>
      <c r="D49">
        <v>5.6000000000000001E-2</v>
      </c>
      <c r="E49">
        <f t="shared" si="0"/>
        <v>14</v>
      </c>
    </row>
    <row r="50" spans="1:5" x14ac:dyDescent="0.3">
      <c r="A50">
        <v>6</v>
      </c>
      <c r="B50" s="4">
        <v>6</v>
      </c>
      <c r="C50" t="s">
        <v>34</v>
      </c>
      <c r="D50">
        <v>8.5999999999999993E-2</v>
      </c>
      <c r="E50">
        <f t="shared" si="0"/>
        <v>14</v>
      </c>
    </row>
    <row r="51" spans="1:5" x14ac:dyDescent="0.3">
      <c r="A51">
        <v>6</v>
      </c>
      <c r="B51" s="4">
        <v>7</v>
      </c>
      <c r="C51" t="s">
        <v>34</v>
      </c>
      <c r="D51">
        <v>8.3000000000000004E-2</v>
      </c>
      <c r="E51">
        <f t="shared" si="0"/>
        <v>14</v>
      </c>
    </row>
    <row r="52" spans="1:5" x14ac:dyDescent="0.3">
      <c r="A52">
        <v>6</v>
      </c>
      <c r="B52" s="4">
        <v>8</v>
      </c>
      <c r="C52" t="s">
        <v>34</v>
      </c>
      <c r="D52">
        <v>5.6000000000000001E-2</v>
      </c>
      <c r="E52">
        <f t="shared" si="0"/>
        <v>14</v>
      </c>
    </row>
    <row r="53" spans="1:5" x14ac:dyDescent="0.3">
      <c r="A53">
        <v>6</v>
      </c>
      <c r="B53" s="4">
        <v>9</v>
      </c>
      <c r="C53" t="s">
        <v>34</v>
      </c>
      <c r="D53">
        <v>8.5000000000000006E-2</v>
      </c>
      <c r="E53">
        <f t="shared" si="0"/>
        <v>14</v>
      </c>
    </row>
    <row r="54" spans="1:5" x14ac:dyDescent="0.3">
      <c r="A54">
        <v>6</v>
      </c>
      <c r="B54" s="4">
        <v>10</v>
      </c>
      <c r="C54" t="s">
        <v>34</v>
      </c>
      <c r="D54">
        <v>8.7999999999999995E-2</v>
      </c>
      <c r="E54">
        <f t="shared" si="0"/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general statistics each state</vt:lpstr>
      <vt:lpstr>avg hotspots</vt:lpstr>
      <vt:lpstr>general data</vt:lpstr>
      <vt:lpstr>ref-ref sanity check</vt:lpstr>
      <vt:lpstr>count best match</vt:lpstr>
      <vt:lpstr>best match line chart dist best</vt:lpstr>
      <vt:lpstr>General Geometries</vt:lpstr>
      <vt:lpstr>m4 22</vt:lpstr>
      <vt:lpstr>bulge and loop m1</vt:lpstr>
      <vt:lpstr>groove changes m3</vt:lpstr>
      <vt:lpstr>key</vt:lpstr>
      <vt:lpstr>wich lowest general</vt:lpstr>
      <vt:lpstr>best match conformer hot spots</vt:lpstr>
      <vt:lpstr>general best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zmetcalf13@gmail.com</dc:creator>
  <cp:lastModifiedBy>zmetcalf13@gmail.com</cp:lastModifiedBy>
  <dcterms:created xsi:type="dcterms:W3CDTF">2025-10-11T17:41:01Z</dcterms:created>
  <dcterms:modified xsi:type="dcterms:W3CDTF">2025-10-14T17:17:49Z</dcterms:modified>
</cp:coreProperties>
</file>